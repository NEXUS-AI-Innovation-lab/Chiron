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Légende" sheetId="3" state="visible" r:id="rId3"/>
  </sheets>
  <definedNames>
    <definedName name="_xlnm._FilterDatabase" localSheetId="0" hidden="1">'Suivi'!$A$1:$N$101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E2A3A"/>
      <sz val="10"/>
    </font>
    <font>
      <name val="Arial"/>
      <b val="1"/>
      <color rgb="001E2A3A"/>
      <sz val="10"/>
    </font>
    <font>
      <name val="Arial"/>
      <b val="1"/>
      <color rgb="000A8A42"/>
      <sz val="14"/>
    </font>
    <font>
      <name val="Arial"/>
      <color rgb="005B6673"/>
      <sz val="9"/>
    </font>
    <font>
      <name val="Arial"/>
      <b val="1"/>
      <color rgb="000A8A42"/>
      <sz val="12"/>
    </font>
  </fonts>
  <fills count="5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FFF6D6"/>
      </patternFill>
    </fill>
    <fill>
      <patternFill patternType="solid">
        <fgColor rgb="00EAF6EF"/>
      </patternFill>
    </fill>
  </fills>
  <borders count="3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9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9" fontId="2" fillId="0" borderId="1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1" fontId="2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2" borderId="0" pivotButton="0" quotePrefix="0" xfId="0"/>
    <xf numFmtId="1" fontId="2" fillId="0" borderId="1" pivotButton="0" quotePrefix="0" xfId="0"/>
    <xf numFmtId="0" fontId="2" fillId="0" borderId="2" applyAlignment="1" pivotButton="0" quotePrefix="0" xfId="0">
      <alignment horizontal="center"/>
    </xf>
    <xf numFmtId="1" fontId="2" fillId="3" borderId="1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26" customWidth="1" min="3" max="3"/>
    <col width="42" customWidth="1" min="4" max="4"/>
    <col width="36" customWidth="1" min="5" max="5"/>
    <col width="66" customWidth="1" min="6" max="6"/>
    <col width="12" customWidth="1" min="7" max="7"/>
    <col width="10" customWidth="1" min="8" max="8"/>
    <col width="8" customWidth="1" min="9" max="9"/>
    <col width="17" customWidth="1" min="10" max="10"/>
    <col width="10" customWidth="1" min="11" max="11"/>
    <col width="15" customWidth="1" min="12" max="12"/>
    <col width="12" customWidth="1" min="13" max="13"/>
    <col width="30" customWidth="1" min="14" max="14"/>
  </cols>
  <sheetData>
    <row r="1" ht="30" customHeight="1">
      <c r="A1" s="1" t="inlineStr">
        <is>
          <t>ID</t>
        </is>
      </c>
      <c r="B1" s="1" t="inlineStr">
        <is>
          <t>Épique</t>
        </is>
      </c>
      <c r="C1" s="1" t="inlineStr">
        <is>
          <t>Rôle</t>
        </is>
      </c>
      <c r="D1" s="1" t="inlineStr">
        <is>
          <t>Je veux…</t>
        </is>
      </c>
      <c r="E1" s="1" t="inlineStr">
        <is>
          <t>Afin de…</t>
        </is>
      </c>
      <c r="F1" s="1" t="inlineStr">
        <is>
          <t>Critères d'acceptation</t>
        </is>
      </c>
      <c r="G1" s="1" t="inlineStr">
        <is>
          <t>Statut</t>
        </is>
      </c>
      <c r="H1" s="1" t="inlineStr">
        <is>
          <t>MoSCoW</t>
        </is>
      </c>
      <c r="I1" s="1" t="inlineStr">
        <is>
          <t>Points</t>
        </is>
      </c>
      <c r="J1" s="1" t="inlineStr">
        <is>
          <t>Dépend de</t>
        </is>
      </c>
      <c r="K1" s="1" t="inlineStr">
        <is>
          <t>Sprint</t>
        </is>
      </c>
      <c r="L1" s="1" t="inlineStr">
        <is>
          <t>Assigné à</t>
        </is>
      </c>
      <c r="M1" s="1" t="inlineStr">
        <is>
          <t>Avancement</t>
        </is>
      </c>
      <c r="N1" s="1" t="inlineStr">
        <is>
          <t>Commentaire</t>
        </is>
      </c>
    </row>
    <row r="2" ht="53" customHeight="1">
      <c r="A2" s="2" t="inlineStr">
        <is>
          <t>US-01</t>
        </is>
      </c>
      <c r="B2" s="3" t="inlineStr">
        <is>
          <t>1 · Accès et socle</t>
        </is>
      </c>
      <c r="C2" s="3" t="inlineStr">
        <is>
          <t>Praticien</t>
        </is>
      </c>
      <c r="D2" s="4" t="inlineStr">
        <is>
          <t>entrer dans l'application en saisissant mon nom</t>
        </is>
      </c>
      <c r="E2" s="4" t="inlineStr">
        <is>
          <t>accéder aux dossiers</t>
        </is>
      </c>
      <c r="F2" s="4" t="inlineStr">
        <is>
          <t>Un nom vide n'ouvre pas la session ; le nom saisi devient l'auteur des tracés et la signature des validations ; il survit à un rechargement</t>
        </is>
      </c>
      <c r="G2" s="5" t="inlineStr">
        <is>
          <t>Fait</t>
        </is>
      </c>
      <c r="H2" s="6" t="inlineStr">
        <is>
          <t>—</t>
        </is>
      </c>
      <c r="I2" s="20" t="n">
        <v>2</v>
      </c>
      <c r="J2" s="3" t="inlineStr">
        <is>
          <t>—</t>
        </is>
      </c>
      <c r="K2" s="5" t="n"/>
      <c r="L2" s="7" t="n"/>
      <c r="M2" s="8" t="n">
        <v>1</v>
      </c>
      <c r="N2" s="9" t="n"/>
    </row>
    <row r="3" ht="46" customHeight="1">
      <c r="A3" s="2" t="inlineStr">
        <is>
          <t>US-02</t>
        </is>
      </c>
      <c r="B3" s="3" t="inlineStr">
        <is>
          <t>1 · Accès et socle</t>
        </is>
      </c>
      <c r="C3" s="3" t="inlineStr">
        <is>
          <t>Praticien</t>
        </is>
      </c>
      <c r="D3" s="4" t="inlineStr">
        <is>
          <t>quitter ma session</t>
        </is>
      </c>
      <c r="E3" s="4" t="inlineStr">
        <is>
          <t>libérer le poste</t>
        </is>
      </c>
      <c r="F3" s="4" t="inlineStr">
        <is>
          <t>L'identité est effacée ; l'écran de connexion revient</t>
        </is>
      </c>
      <c r="G3" s="5" t="inlineStr">
        <is>
          <t>Fait</t>
        </is>
      </c>
      <c r="H3" s="6" t="inlineStr">
        <is>
          <t>—</t>
        </is>
      </c>
      <c r="I3" s="20" t="n">
        <v>1</v>
      </c>
      <c r="J3" s="3" t="inlineStr">
        <is>
          <t>—</t>
        </is>
      </c>
      <c r="K3" s="5" t="n"/>
      <c r="L3" s="7" t="n"/>
      <c r="M3" s="8" t="n">
        <v>1</v>
      </c>
      <c r="N3" s="9" t="n"/>
    </row>
    <row r="4" ht="53" customHeight="1">
      <c r="A4" s="2" t="inlineStr">
        <is>
          <t>US-03</t>
        </is>
      </c>
      <c r="B4" s="3" t="inlineStr">
        <is>
          <t>1 · Accès et socle</t>
        </is>
      </c>
      <c r="C4" s="3" t="inlineStr">
        <is>
          <t>Praticien</t>
        </is>
      </c>
      <c r="D4" s="4" t="inlineStr">
        <is>
          <t>choisir un thème clair ou sombre</t>
        </is>
      </c>
      <c r="E4" s="4" t="inlineStr">
        <is>
          <t>lire confortablement selon la lumière de la pièce</t>
        </is>
      </c>
      <c r="F4" s="4" t="inlineStr">
        <is>
          <t>Le choix est disponible dès la connexion ; il est conservé entre deux sessions ; aucun flash de thème clair au chargement</t>
        </is>
      </c>
      <c r="G4" s="5" t="inlineStr">
        <is>
          <t>Fait</t>
        </is>
      </c>
      <c r="H4" s="6" t="inlineStr">
        <is>
          <t>—</t>
        </is>
      </c>
      <c r="I4" s="20" t="n">
        <v>3</v>
      </c>
      <c r="J4" s="3" t="inlineStr">
        <is>
          <t>—</t>
        </is>
      </c>
      <c r="K4" s="5" t="n"/>
      <c r="L4" s="7" t="n"/>
      <c r="M4" s="8" t="n">
        <v>1</v>
      </c>
      <c r="N4" s="9" t="n"/>
    </row>
    <row r="5" ht="68" customHeight="1">
      <c r="A5" s="10" t="inlineStr">
        <is>
          <t>US-04a</t>
        </is>
      </c>
      <c r="B5" s="3" t="inlineStr">
        <is>
          <t>1 · Accès et socle</t>
        </is>
      </c>
      <c r="C5" s="3" t="inlineStr">
        <is>
          <t>Pathologiste qui valide un compte rendu</t>
        </is>
      </c>
      <c r="D5" s="4" t="inlineStr">
        <is>
          <t>me connecter avec mon compte Supabase</t>
        </is>
      </c>
      <c r="E5" s="4" t="inlineStr">
        <is>
          <t>que ma signature ne puisse pas être prise par quelqu'un qui taperait mon nom</t>
        </is>
      </c>
      <c r="F5" s="4" t="inlineStr">
        <is>
          <t>Supabase Auth. Identifiants valides : accès, nom affiché issu du compte ; mot de passe faux : refus avec message neutre ; pas d'inscription libre, comptes créés par un administrateur</t>
        </is>
      </c>
      <c r="G5" s="5" t="inlineStr">
        <is>
          <t>À faire</t>
        </is>
      </c>
      <c r="H5" s="6" t="inlineStr">
        <is>
          <t>Must</t>
        </is>
      </c>
      <c r="I5" s="20" t="n">
        <v>3</v>
      </c>
      <c r="J5" s="3" t="inlineStr">
        <is>
          <t>US-71</t>
        </is>
      </c>
      <c r="K5" s="5" t="n"/>
      <c r="L5" s="7" t="n"/>
      <c r="M5" s="8" t="n">
        <v>0</v>
      </c>
      <c r="N5" s="9" t="n"/>
    </row>
    <row r="6" ht="53" customHeight="1">
      <c r="A6" s="10" t="inlineStr">
        <is>
          <t>US-04b</t>
        </is>
      </c>
      <c r="B6" s="3" t="inlineStr">
        <is>
          <t>1 · Accès et socle</t>
        </is>
      </c>
      <c r="C6" s="3" t="inlineStr">
        <is>
          <t>Établissement qui héberge des données de santé</t>
        </is>
      </c>
      <c r="D6" s="4" t="inlineStr">
        <is>
          <t>que l'API refuse toute requête sans jeton Supabase valide</t>
        </is>
      </c>
      <c r="E6" s="4" t="inlineStr">
        <is>
          <t>qu'on ne puisse pas contourner l'interface</t>
        </is>
      </c>
      <c r="F6" s="4" t="inlineStr">
        <is>
          <t>Sans jeton : 401, aucune donnée ; jeton d'un autre projet Supabase : 401 ; session expirée : retour à la connexion, saisie conservée ; l'adresse de santé reste publique</t>
        </is>
      </c>
      <c r="G6" s="5" t="inlineStr">
        <is>
          <t>À faire</t>
        </is>
      </c>
      <c r="H6" s="6" t="inlineStr">
        <is>
          <t>Must</t>
        </is>
      </c>
      <c r="I6" s="20" t="n">
        <v>3</v>
      </c>
      <c r="J6" s="3" t="inlineStr">
        <is>
          <t>US-04a</t>
        </is>
      </c>
      <c r="K6" s="5" t="n"/>
      <c r="L6" s="7" t="n"/>
      <c r="M6" s="8" t="n">
        <v>0</v>
      </c>
      <c r="N6" s="9" t="n"/>
    </row>
    <row r="7" ht="53" customHeight="1">
      <c r="A7" s="10" t="inlineStr">
        <is>
          <t>US-04c</t>
        </is>
      </c>
      <c r="B7" s="3" t="inlineStr">
        <is>
          <t>1 · Accès et socle</t>
        </is>
      </c>
      <c r="C7" s="3" t="inlineStr">
        <is>
          <t>Administrateur qui met en service l'authentification</t>
        </is>
      </c>
      <c r="D7" s="4" t="inlineStr">
        <is>
          <t>rattacher les signatures déjà enregistrées à un compte ou les marquer non vérifiées</t>
        </is>
      </c>
      <c r="E7" s="4" t="inlineStr">
        <is>
          <t>que l'historique ne mente pas</t>
        </is>
      </c>
      <c r="F7" s="4" t="inlineStr">
        <is>
          <t>Nom rattaché à un compte : la validation affiche ce compte ; nom sans compte : mention « Signature non vérifiée »</t>
        </is>
      </c>
      <c r="G7" s="5" t="inlineStr">
        <is>
          <t>À faire</t>
        </is>
      </c>
      <c r="H7" s="6" t="inlineStr">
        <is>
          <t>Should</t>
        </is>
      </c>
      <c r="I7" s="20" t="n">
        <v>3</v>
      </c>
      <c r="J7" s="3" t="inlineStr">
        <is>
          <t>US-04a</t>
        </is>
      </c>
      <c r="K7" s="5" t="n"/>
      <c r="L7" s="7" t="n"/>
      <c r="M7" s="8" t="n">
        <v>0</v>
      </c>
      <c r="N7" s="9" t="n"/>
    </row>
    <row r="8" ht="68" customHeight="1">
      <c r="A8" s="10" t="inlineStr">
        <is>
          <t>US-05</t>
        </is>
      </c>
      <c r="B8" s="3" t="inlineStr">
        <is>
          <t>1 · Accès et socle</t>
        </is>
      </c>
      <c r="C8" s="3" t="inlineStr">
        <is>
          <t>Technicien de laboratoire qui renseigne un prélèvement</t>
        </is>
      </c>
      <c r="D8" s="4" t="inlineStr">
        <is>
          <t>ne voir que les étapes de mon rôle</t>
        </is>
      </c>
      <c r="E8" s="4" t="inlineStr">
        <is>
          <t>ne pas valider un diagnostic dont je ne réponds pas</t>
        </is>
      </c>
      <c r="F8" s="4" t="inlineStr">
        <is>
          <t>Technicien : Prélèvement et Préparation accessibles, Diagnostic absent ; validation Diagnostic envoyée à l'API : refus 403 ; un administrateur change un rôle, effectif à la connexion suivante</t>
        </is>
      </c>
      <c r="G8" s="5" t="inlineStr">
        <is>
          <t>À faire</t>
        </is>
      </c>
      <c r="H8" s="6" t="inlineStr">
        <is>
          <t>Should</t>
        </is>
      </c>
      <c r="I8" s="20" t="n">
        <v>5</v>
      </c>
      <c r="J8" s="3" t="inlineStr">
        <is>
          <t>US-04b</t>
        </is>
      </c>
      <c r="K8" s="5" t="n"/>
      <c r="L8" s="7" t="n"/>
      <c r="M8" s="8" t="n">
        <v>0</v>
      </c>
      <c r="N8" s="9" t="n"/>
    </row>
    <row r="9" ht="53" customHeight="1">
      <c r="A9" s="10" t="inlineStr">
        <is>
          <t>US-06a</t>
        </is>
      </c>
      <c r="B9" s="3" t="inlineStr">
        <is>
          <t>1 · Accès et socle</t>
        </is>
      </c>
      <c r="C9" s="3" t="inlineStr">
        <is>
          <t>Établissement soumis à la traçabilité</t>
        </is>
      </c>
      <c r="D9" s="4" t="inlineStr">
        <is>
          <t>que chaque action sur un dossier soit journalisée</t>
        </is>
      </c>
      <c r="E9" s="4" t="inlineStr">
        <is>
          <t>pouvoir reconstituer qui a fait quoi</t>
        </is>
      </c>
      <c r="F9" s="4" t="inlineStr">
        <is>
          <t>Création, validation, modification, suppression : une entrée avec auteur, action, dossier et horodatage ; modifier ou supprimer une entrée par l'API est refusé</t>
        </is>
      </c>
      <c r="G9" s="5" t="inlineStr">
        <is>
          <t>À faire</t>
        </is>
      </c>
      <c r="H9" s="6" t="inlineStr">
        <is>
          <t>Should</t>
        </is>
      </c>
      <c r="I9" s="20" t="n">
        <v>5</v>
      </c>
      <c r="J9" s="3" t="inlineStr">
        <is>
          <t>US-04b</t>
        </is>
      </c>
      <c r="K9" s="5" t="n"/>
      <c r="L9" s="7" t="n"/>
      <c r="M9" s="8" t="n">
        <v>0</v>
      </c>
      <c r="N9" s="9" t="n"/>
    </row>
    <row r="10" ht="46" customHeight="1">
      <c r="A10" s="10" t="inlineStr">
        <is>
          <t>US-06b</t>
        </is>
      </c>
      <c r="B10" s="3" t="inlineStr">
        <is>
          <t>1 · Accès et socle</t>
        </is>
      </c>
      <c r="C10" s="3" t="inlineStr">
        <is>
          <t>Administrateur qui instruit une réclamation</t>
        </is>
      </c>
      <c r="D10" s="4" t="inlineStr">
        <is>
          <t>lire le journal d'un dossier</t>
        </is>
      </c>
      <c r="E10" s="4" t="inlineStr">
        <is>
          <t>savoir qui a fait quoi et quand</t>
        </is>
      </c>
      <c r="F10" s="4" t="inlineStr">
        <is>
          <t>Entrées affichées de la plus récente à la plus ancienne ; un pathologiste qui ouvre le journal est refusé</t>
        </is>
      </c>
      <c r="G10" s="5" t="inlineStr">
        <is>
          <t>À faire</t>
        </is>
      </c>
      <c r="H10" s="6" t="inlineStr">
        <is>
          <t>Should</t>
        </is>
      </c>
      <c r="I10" s="20" t="n">
        <v>3</v>
      </c>
      <c r="J10" s="3" t="inlineStr">
        <is>
          <t>US-06a</t>
        </is>
      </c>
      <c r="K10" s="5" t="n"/>
      <c r="L10" s="7" t="n"/>
      <c r="M10" s="8" t="n">
        <v>0</v>
      </c>
      <c r="N10" s="9" t="n"/>
    </row>
    <row r="11" ht="53" customHeight="1">
      <c r="A11" s="2" t="inlineStr">
        <is>
          <t>US-07</t>
        </is>
      </c>
      <c r="B11" s="3" t="inlineStr">
        <is>
          <t>2 · Dossiers patients</t>
        </is>
      </c>
      <c r="C11" s="3" t="inlineStr">
        <is>
          <t>Praticien</t>
        </is>
      </c>
      <c r="D11" s="4" t="inlineStr">
        <is>
          <t>créer un dossier patient</t>
        </is>
      </c>
      <c r="E11" s="4" t="inlineStr">
        <is>
          <t>y rattacher ses examens</t>
        </is>
      </c>
      <c r="F11" s="4" t="inlineStr">
        <is>
          <t>Nom, âge, date de naissance et antécédents sont saisissables ; un identifiant de dossier unique est généré ; le dossier apparaît immédiatement dans la liste</t>
        </is>
      </c>
      <c r="G11" s="5" t="inlineStr">
        <is>
          <t>Fait</t>
        </is>
      </c>
      <c r="H11" s="6" t="inlineStr">
        <is>
          <t>—</t>
        </is>
      </c>
      <c r="I11" s="20" t="n">
        <v>3</v>
      </c>
      <c r="J11" s="3" t="inlineStr">
        <is>
          <t>—</t>
        </is>
      </c>
      <c r="K11" s="5" t="n"/>
      <c r="L11" s="7" t="n"/>
      <c r="M11" s="8" t="n">
        <v>1</v>
      </c>
      <c r="N11" s="9" t="n"/>
    </row>
    <row r="12" ht="46" customHeight="1">
      <c r="A12" s="2" t="inlineStr">
        <is>
          <t>US-08</t>
        </is>
      </c>
      <c r="B12" s="3" t="inlineStr">
        <is>
          <t>2 · Dossiers patients</t>
        </is>
      </c>
      <c r="C12" s="3" t="inlineStr">
        <is>
          <t>Praticien</t>
        </is>
      </c>
      <c r="D12" s="4" t="inlineStr">
        <is>
          <t>consulter la liste des dossiers</t>
        </is>
      </c>
      <c r="E12" s="4" t="inlineStr">
        <is>
          <t>retrouver celui sur lequel travailler</t>
        </is>
      </c>
      <c r="F12" s="4" t="inlineStr">
        <is>
          <t>La liste montre nom, identifiant et composition du dossier ; un liseré indique ce que le dossier contient</t>
        </is>
      </c>
      <c r="G12" s="5" t="inlineStr">
        <is>
          <t>Fait</t>
        </is>
      </c>
      <c r="H12" s="6" t="inlineStr">
        <is>
          <t>—</t>
        </is>
      </c>
      <c r="I12" s="20" t="n">
        <v>3</v>
      </c>
      <c r="J12" s="3" t="inlineStr">
        <is>
          <t>—</t>
        </is>
      </c>
      <c r="K12" s="5" t="n"/>
      <c r="L12" s="7" t="n"/>
      <c r="M12" s="8" t="n">
        <v>1</v>
      </c>
      <c r="N12" s="9" t="n"/>
    </row>
    <row r="13" ht="53" customHeight="1">
      <c r="A13" s="2" t="inlineStr">
        <is>
          <t>US-09</t>
        </is>
      </c>
      <c r="B13" s="3" t="inlineStr">
        <is>
          <t>2 · Dossiers patients</t>
        </is>
      </c>
      <c r="C13" s="3" t="inlineStr">
        <is>
          <t>Responsable de service</t>
        </is>
      </c>
      <c r="D13" s="4" t="inlineStr">
        <is>
          <t>lire des indicateurs de suivi</t>
        </is>
      </c>
      <c r="E13" s="4" t="inlineStr">
        <is>
          <t>mesurer l'activité</t>
        </is>
      </c>
      <c r="F13" s="4" t="inlineStr">
        <is>
          <t>Dossiers suivis, analyses terminées, cas critiques et taux de cas sains sont affichés ; des graphiques accompagnent les chiffres</t>
        </is>
      </c>
      <c r="G13" s="5" t="inlineStr">
        <is>
          <t>Fait</t>
        </is>
      </c>
      <c r="H13" s="6" t="inlineStr">
        <is>
          <t>—</t>
        </is>
      </c>
      <c r="I13" s="20" t="n">
        <v>5</v>
      </c>
      <c r="J13" s="3" t="inlineStr">
        <is>
          <t>—</t>
        </is>
      </c>
      <c r="K13" s="5" t="n"/>
      <c r="L13" s="7" t="n"/>
      <c r="M13" s="8" t="n">
        <v>1</v>
      </c>
      <c r="N13" s="9" t="n"/>
    </row>
    <row r="14" ht="46" customHeight="1">
      <c r="A14" s="2" t="inlineStr">
        <is>
          <t>US-10</t>
        </is>
      </c>
      <c r="B14" s="3" t="inlineStr">
        <is>
          <t>2 · Dossiers patients</t>
        </is>
      </c>
      <c r="C14" s="3" t="inlineStr">
        <is>
          <t>Praticien</t>
        </is>
      </c>
      <c r="D14" s="4" t="inlineStr">
        <is>
          <t>ouvrir la fiche d'un patient</t>
        </is>
      </c>
      <c r="E14" s="4" t="inlineStr">
        <is>
          <t>voir ses examens et ses analyses</t>
        </is>
      </c>
      <c r="F14" s="4" t="inlineStr">
        <is>
          <t>Identité, lame, examen radiologique et dossiers d'analyse sont visibles ; chaque élément s'ouvre d'un clic</t>
        </is>
      </c>
      <c r="G14" s="5" t="inlineStr">
        <is>
          <t>Fait</t>
        </is>
      </c>
      <c r="H14" s="6" t="inlineStr">
        <is>
          <t>—</t>
        </is>
      </c>
      <c r="I14" s="20" t="n">
        <v>5</v>
      </c>
      <c r="J14" s="3" t="inlineStr">
        <is>
          <t>—</t>
        </is>
      </c>
      <c r="K14" s="5" t="n"/>
      <c r="L14" s="7" t="n"/>
      <c r="M14" s="8" t="n">
        <v>1</v>
      </c>
      <c r="N14" s="9" t="n"/>
    </row>
    <row r="15" ht="53" customHeight="1">
      <c r="A15" s="2" t="inlineStr">
        <is>
          <t>US-11</t>
        </is>
      </c>
      <c r="B15" s="3" t="inlineStr">
        <is>
          <t>2 · Dossiers patients</t>
        </is>
      </c>
      <c r="C15" s="3" t="inlineStr">
        <is>
          <t>Praticien</t>
        </is>
      </c>
      <c r="D15" s="4" t="inlineStr">
        <is>
          <t>supprimer un dossier patient</t>
        </is>
      </c>
      <c r="E15" s="4" t="inlineStr">
        <is>
          <t>retirer un dossier créé par erreur</t>
        </is>
      </c>
      <c r="F15" s="4" t="inlineStr">
        <is>
          <t>La suppression retire le patient, ses lames, ses extractions et ses tracés ; les études restent dans le PACS, et l'interface le dit</t>
        </is>
      </c>
      <c r="G15" s="5" t="inlineStr">
        <is>
          <t>Fait</t>
        </is>
      </c>
      <c r="H15" s="6" t="inlineStr">
        <is>
          <t>—</t>
        </is>
      </c>
      <c r="I15" s="20" t="n">
        <v>5</v>
      </c>
      <c r="J15" s="3" t="inlineStr">
        <is>
          <t>—</t>
        </is>
      </c>
      <c r="K15" s="5" t="n"/>
      <c r="L15" s="7" t="n"/>
      <c r="M15" s="8" t="n">
        <v>1</v>
      </c>
      <c r="N15" s="9" t="n"/>
    </row>
    <row r="16" ht="53" customHeight="1">
      <c r="A16" s="10" t="inlineStr">
        <is>
          <t>US-12</t>
        </is>
      </c>
      <c r="B16" s="3" t="inlineStr">
        <is>
          <t>2 · Dossiers patients</t>
        </is>
      </c>
      <c r="C16" s="3" t="inlineStr">
        <is>
          <t>Pathologiste qui reprend sa file le matin</t>
        </is>
      </c>
      <c r="D16" s="4" t="inlineStr">
        <is>
          <t>rechercher un patient par son nom</t>
        </is>
      </c>
      <c r="E16" s="4" t="inlineStr">
        <is>
          <t>le retrouver sans parcourir toute la liste</t>
        </is>
      </c>
      <c r="F16" s="4" t="inlineStr">
        <is>
          <t>La saisie filtre sans rechargement, sans tenir compte de la casse ni des accents ; aucun résultat : message nommant la recherche et action pour l'effacer</t>
        </is>
      </c>
      <c r="G16" s="5" t="inlineStr">
        <is>
          <t>À faire</t>
        </is>
      </c>
      <c r="H16" s="6" t="inlineStr">
        <is>
          <t>Must</t>
        </is>
      </c>
      <c r="I16" s="20" t="n">
        <v>2</v>
      </c>
      <c r="J16" s="3" t="inlineStr">
        <is>
          <t>—</t>
        </is>
      </c>
      <c r="K16" s="5" t="n"/>
      <c r="L16" s="7" t="n"/>
      <c r="M16" s="8" t="n">
        <v>0</v>
      </c>
      <c r="N16" s="9" t="n"/>
    </row>
    <row r="17" ht="53" customHeight="1">
      <c r="A17" s="10" t="inlineStr">
        <is>
          <t>US-13</t>
        </is>
      </c>
      <c r="B17" s="3" t="inlineStr">
        <is>
          <t>2 · Dossiers patients</t>
        </is>
      </c>
      <c r="C17" s="3" t="inlineStr">
        <is>
          <t>Pathologiste qui gère plusieurs dossiers en parallèle</t>
        </is>
      </c>
      <c r="D17" s="4" t="inlineStr">
        <is>
          <t>filtrer la liste par statut et par pathologiste</t>
        </is>
      </c>
      <c r="E17" s="4" t="inlineStr">
        <is>
          <t>me concentrer sur mes dossiers en cours</t>
        </is>
      </c>
      <c r="F17" s="4" t="inlineStr">
        <is>
          <t>Préalable : arrêter la liste des statuts. Les filtres se combinent et le compteur affiche le nombre de résultats ; seuls les statuts écrits par le serveur sont proposés</t>
        </is>
      </c>
      <c r="G17" s="5" t="inlineStr">
        <is>
          <t>À faire</t>
        </is>
      </c>
      <c r="H17" s="6" t="inlineStr">
        <is>
          <t>Must</t>
        </is>
      </c>
      <c r="I17" s="20" t="n">
        <v>3</v>
      </c>
      <c r="J17" s="3" t="inlineStr">
        <is>
          <t>—</t>
        </is>
      </c>
      <c r="K17" s="5" t="n"/>
      <c r="L17" s="7" t="n"/>
      <c r="M17" s="8" t="n">
        <v>0</v>
      </c>
      <c r="N17" s="9" t="n"/>
    </row>
    <row r="18" ht="53" customHeight="1">
      <c r="A18" s="10" t="inlineStr">
        <is>
          <t>US-14</t>
        </is>
      </c>
      <c r="B18" s="3" t="inlineStr">
        <is>
          <t>2 · Dossiers patients</t>
        </is>
      </c>
      <c r="C18" s="3" t="inlineStr">
        <is>
          <t>Pathologiste qui reçoit un cas prioritaire</t>
        </is>
      </c>
      <c r="D18" s="4" t="inlineStr">
        <is>
          <t>marquer un dossier urgent</t>
        </is>
      </c>
      <c r="E18" s="4" t="inlineStr">
        <is>
          <t>qu'il remonte en tête de la file</t>
        </is>
      </c>
      <c r="F18" s="4" t="inlineStr">
        <is>
          <t>Le dossier urgent passe en première position avec un libellé « Urgent » en plus de la couleur ; retirer l'urgence lui rend sa place habituelle</t>
        </is>
      </c>
      <c r="G18" s="5" t="inlineStr">
        <is>
          <t>À faire</t>
        </is>
      </c>
      <c r="H18" s="6" t="inlineStr">
        <is>
          <t>Must</t>
        </is>
      </c>
      <c r="I18" s="20" t="n">
        <v>2</v>
      </c>
      <c r="J18" s="3" t="inlineStr">
        <is>
          <t>—</t>
        </is>
      </c>
      <c r="K18" s="5" t="n"/>
      <c r="L18" s="7" t="n"/>
      <c r="M18" s="8" t="n">
        <v>0</v>
      </c>
      <c r="N18" s="9" t="n"/>
    </row>
    <row r="19" ht="53" customHeight="1">
      <c r="A19" s="10" t="inlineStr">
        <is>
          <t>US-15</t>
        </is>
      </c>
      <c r="B19" s="3" t="inlineStr">
        <is>
          <t>2 · Dossiers patients</t>
        </is>
      </c>
      <c r="C19" s="3" t="inlineStr">
        <is>
          <t>Pathologiste qui gère une file chargée</t>
        </is>
      </c>
      <c r="D19" s="4" t="inlineStr">
        <is>
          <t>basculer vers une vue tableau</t>
        </is>
      </c>
      <c r="E19" s="4" t="inlineStr">
        <is>
          <t>voir plus de dossiers à la fois</t>
        </is>
      </c>
      <c r="F19" s="4" t="inlineStr">
        <is>
          <t>Les filtres sont conservés au changement de vue ; clic sur un en-tête : tri, sens annoncé aux lecteurs d'écran ; la vue choisie est retenue</t>
        </is>
      </c>
      <c r="G19" s="5" t="inlineStr">
        <is>
          <t>À faire</t>
        </is>
      </c>
      <c r="H19" s="6" t="inlineStr">
        <is>
          <t>Should</t>
        </is>
      </c>
      <c r="I19" s="20" t="n">
        <v>5</v>
      </c>
      <c r="J19" s="3" t="inlineStr">
        <is>
          <t>US-13</t>
        </is>
      </c>
      <c r="K19" s="5" t="n"/>
      <c r="L19" s="7" t="n"/>
      <c r="M19" s="8" t="n">
        <v>0</v>
      </c>
      <c r="N19" s="9" t="n"/>
    </row>
    <row r="20" ht="53" customHeight="1">
      <c r="A20" s="10" t="inlineStr">
        <is>
          <t>US-16</t>
        </is>
      </c>
      <c r="B20" s="3" t="inlineStr">
        <is>
          <t>2 · Dossiers patients</t>
        </is>
      </c>
      <c r="C20" s="3" t="inlineStr">
        <is>
          <t>Pathologiste qui répartit la file du jour</t>
        </is>
      </c>
      <c r="D20" s="4" t="inlineStr">
        <is>
          <t>sélectionner plusieurs dossiers et leur appliquer une action</t>
        </is>
      </c>
      <c r="E20" s="4" t="inlineStr">
        <is>
          <t>ne pas répéter le même geste</t>
        </is>
      </c>
      <c r="F20" s="4" t="inlineStr">
        <is>
          <t>Assigner un relecteur à 4 dossiers sélectionnés, nombre rappelé avant confirmation ; échec partiel : l'action s'applique aux autres, le dossier en échec est nommé</t>
        </is>
      </c>
      <c r="G20" s="5" t="inlineStr">
        <is>
          <t>À faire</t>
        </is>
      </c>
      <c r="H20" s="6" t="inlineStr">
        <is>
          <t>Could</t>
        </is>
      </c>
      <c r="I20" s="20" t="n">
        <v>5</v>
      </c>
      <c r="J20" s="3" t="inlineStr">
        <is>
          <t>US-15, US-56</t>
        </is>
      </c>
      <c r="K20" s="5" t="n"/>
      <c r="L20" s="7" t="n"/>
      <c r="M20" s="8" t="n">
        <v>0</v>
      </c>
      <c r="N20" s="9" t="n"/>
    </row>
    <row r="21" ht="53" customHeight="1">
      <c r="A21" s="10" t="inlineStr">
        <is>
          <t>US-17</t>
        </is>
      </c>
      <c r="B21" s="3" t="inlineStr">
        <is>
          <t>2 · Dossiers patients</t>
        </is>
      </c>
      <c r="C21" s="3" t="inlineStr">
        <is>
          <t>Pathologiste qui envoie un dossier à un confrère</t>
        </is>
      </c>
      <c r="D21" s="4" t="inlineStr">
        <is>
          <t>que la fiche patient ait sa propre adresse</t>
        </is>
      </c>
      <c r="E21" s="4" t="inlineStr">
        <is>
          <t>la partager et d'y revenir directement</t>
        </is>
      </c>
      <c r="F21" s="4" t="inlineStr">
        <is>
          <t>L'adresse identifie le dossier, recharger rouvre la fiche ; le fil d'Ariane ramène à la file avec ses filtres ; dossier supprimé : page qui le dit</t>
        </is>
      </c>
      <c r="G21" s="5" t="inlineStr">
        <is>
          <t>À faire</t>
        </is>
      </c>
      <c r="H21" s="6" t="inlineStr">
        <is>
          <t>Should</t>
        </is>
      </c>
      <c r="I21" s="20" t="n">
        <v>5</v>
      </c>
      <c r="J21" s="3" t="inlineStr">
        <is>
          <t>—</t>
        </is>
      </c>
      <c r="K21" s="5" t="n"/>
      <c r="L21" s="7" t="n"/>
      <c r="M21" s="8" t="n">
        <v>0</v>
      </c>
      <c r="N21" s="9" t="n"/>
    </row>
    <row r="22" ht="53" customHeight="1">
      <c r="A22" s="10" t="inlineStr">
        <is>
          <t>US-18</t>
        </is>
      </c>
      <c r="B22" s="3" t="inlineStr">
        <is>
          <t>2 · Dossiers patients</t>
        </is>
      </c>
      <c r="C22" s="3" t="inlineStr">
        <is>
          <t>Pathologiste qui fait le point en fin de semaine</t>
        </is>
      </c>
      <c r="D22" s="4" t="inlineStr">
        <is>
          <t>voir la dernière activité et le relecteur de chaque dossier</t>
        </is>
      </c>
      <c r="E22" s="4" t="inlineStr">
        <is>
          <t>repérer ceux qui n'avancent plus</t>
        </is>
      </c>
      <c r="F22" s="4" t="inlineStr">
        <is>
          <t>Date de dernière activité affichée et triable, les plus anciens en premier ; sans relecteur : « Aucun relecteur »</t>
        </is>
      </c>
      <c r="G22" s="5" t="inlineStr">
        <is>
          <t>À faire</t>
        </is>
      </c>
      <c r="H22" s="6" t="inlineStr">
        <is>
          <t>Should</t>
        </is>
      </c>
      <c r="I22" s="20" t="n">
        <v>3</v>
      </c>
      <c r="J22" s="3" t="inlineStr">
        <is>
          <t>US-56</t>
        </is>
      </c>
      <c r="K22" s="5" t="n"/>
      <c r="L22" s="7" t="n"/>
      <c r="M22" s="8" t="n">
        <v>0</v>
      </c>
      <c r="N22" s="9" t="n"/>
    </row>
    <row r="23" ht="53" customHeight="1">
      <c r="A23" s="2" t="inlineStr">
        <is>
          <t>US-19</t>
        </is>
      </c>
      <c r="B23" s="3" t="inlineStr">
        <is>
          <t>3 · Lames de biopsie</t>
        </is>
      </c>
      <c r="C23" s="3" t="inlineStr">
        <is>
          <t>Pathologiste</t>
        </is>
      </c>
      <c r="D23" s="4" t="inlineStr">
        <is>
          <t>importer une lame numérisée</t>
        </is>
      </c>
      <c r="E23" s="4" t="inlineStr">
        <is>
          <t>l'explorer dans le navigateur</t>
        </is>
      </c>
      <c r="F23" s="4" t="inlineStr">
        <is>
          <t>Les formats svs, tif et tiff sont acceptés ; le fichier source est conservé intact ; la pyramide de tuiles est générée avant l'ouverture</t>
        </is>
      </c>
      <c r="G23" s="5" t="inlineStr">
        <is>
          <t>Fait</t>
        </is>
      </c>
      <c r="H23" s="6" t="inlineStr">
        <is>
          <t>—</t>
        </is>
      </c>
      <c r="I23" s="20" t="n">
        <v>8</v>
      </c>
      <c r="J23" s="3" t="inlineStr">
        <is>
          <t>—</t>
        </is>
      </c>
      <c r="K23" s="5" t="n"/>
      <c r="L23" s="7" t="n"/>
      <c r="M23" s="8" t="n">
        <v>1</v>
      </c>
      <c r="N23" s="9" t="n"/>
    </row>
    <row r="24" ht="46" customHeight="1">
      <c r="A24" s="2" t="inlineStr">
        <is>
          <t>US-20</t>
        </is>
      </c>
      <c r="B24" s="3" t="inlineStr">
        <is>
          <t>3 · Lames de biopsie</t>
        </is>
      </c>
      <c r="C24" s="3" t="inlineStr">
        <is>
          <t>Pathologiste</t>
        </is>
      </c>
      <c r="D24" s="4" t="inlineStr">
        <is>
          <t>explorer la lame en zoom continu</t>
        </is>
      </c>
      <c r="E24" s="4" t="inlineStr">
        <is>
          <t>lire une image de plusieurs gigaoctets sans attendre</t>
        </is>
      </c>
      <c r="F24" s="4" t="inlineStr">
        <is>
          <t>Seules les tuiles du niveau de zoom courant sont chargées ; le déplacement reste fluide à fort grossissement</t>
        </is>
      </c>
      <c r="G24" s="5" t="inlineStr">
        <is>
          <t>Fait</t>
        </is>
      </c>
      <c r="H24" s="6" t="inlineStr">
        <is>
          <t>—</t>
        </is>
      </c>
      <c r="I24" s="20" t="n">
        <v>8</v>
      </c>
      <c r="J24" s="3" t="inlineStr">
        <is>
          <t>—</t>
        </is>
      </c>
      <c r="K24" s="5" t="n"/>
      <c r="L24" s="7" t="n"/>
      <c r="M24" s="8" t="n">
        <v>1</v>
      </c>
      <c r="N24" s="9" t="n"/>
    </row>
    <row r="25" ht="46" customHeight="1">
      <c r="A25" s="2" t="inlineStr">
        <is>
          <t>US-21</t>
        </is>
      </c>
      <c r="B25" s="3" t="inlineStr">
        <is>
          <t>3 · Lames de biopsie</t>
        </is>
      </c>
      <c r="C25" s="3" t="inlineStr">
        <is>
          <t>Pathologiste</t>
        </is>
      </c>
      <c r="D25" s="4" t="inlineStr">
        <is>
          <t>me repérer dans la lame</t>
        </is>
      </c>
      <c r="E25" s="4" t="inlineStr">
        <is>
          <t>savoir où je regarde</t>
        </is>
      </c>
      <c r="F25" s="4" t="inlineStr">
        <is>
          <t>Une minimap situe la vue courante ; zoom avant, zoom arrière et déplacement sont accessibles sans raccourci clavier</t>
        </is>
      </c>
      <c r="G25" s="5" t="inlineStr">
        <is>
          <t>Fait</t>
        </is>
      </c>
      <c r="H25" s="6" t="inlineStr">
        <is>
          <t>—</t>
        </is>
      </c>
      <c r="I25" s="20" t="n">
        <v>3</v>
      </c>
      <c r="J25" s="3" t="inlineStr">
        <is>
          <t>—</t>
        </is>
      </c>
      <c r="K25" s="5" t="n"/>
      <c r="L25" s="7" t="n"/>
      <c r="M25" s="8" t="n">
        <v>1</v>
      </c>
      <c r="N25" s="9" t="n"/>
    </row>
    <row r="26" ht="53" customHeight="1">
      <c r="A26" s="2" t="inlineStr">
        <is>
          <t>US-22</t>
        </is>
      </c>
      <c r="B26" s="3" t="inlineStr">
        <is>
          <t>3 · Lames de biopsie</t>
        </is>
      </c>
      <c r="C26" s="3" t="inlineStr">
        <is>
          <t>Pathologiste</t>
        </is>
      </c>
      <c r="D26" s="4" t="inlineStr">
        <is>
          <t>tracer des annotations sur la lame</t>
        </is>
      </c>
      <c r="E26" s="4" t="inlineStr">
        <is>
          <t>désigner les zones qui m'intéressent</t>
        </is>
      </c>
      <c r="F26" s="4" t="inlineStr">
        <is>
          <t>Rectangle, cercle, polygone et texte sont disponibles ; les tracés suivent les coordonnées de l'image, pas celles de l'écran ; ils survivent à un rechargement</t>
        </is>
      </c>
      <c r="G26" s="5" t="inlineStr">
        <is>
          <t>Fait</t>
        </is>
      </c>
      <c r="H26" s="6" t="inlineStr">
        <is>
          <t>—</t>
        </is>
      </c>
      <c r="I26" s="20" t="n">
        <v>8</v>
      </c>
      <c r="J26" s="3" t="inlineStr">
        <is>
          <t>—</t>
        </is>
      </c>
      <c r="K26" s="5" t="n"/>
      <c r="L26" s="7" t="n"/>
      <c r="M26" s="8" t="n">
        <v>1</v>
      </c>
      <c r="N26" s="9" t="n"/>
    </row>
    <row r="27" ht="46" customHeight="1">
      <c r="A27" s="2" t="inlineStr">
        <is>
          <t>US-23</t>
        </is>
      </c>
      <c r="B27" s="3" t="inlineStr">
        <is>
          <t>3 · Lames de biopsie</t>
        </is>
      </c>
      <c r="C27" s="3" t="inlineStr">
        <is>
          <t>Pathologiste</t>
        </is>
      </c>
      <c r="D27" s="4" t="inlineStr">
        <is>
          <t>distinguer mes tracés de ceux de mes confrères</t>
        </is>
      </c>
      <c r="E27" s="4" t="inlineStr">
        <is>
          <t>savoir qui a signalé quoi</t>
        </is>
      </c>
      <c r="F27" s="4" t="inlineStr">
        <is>
          <t>Mes tracés sont verts, ceux des autres orange ; une légende rappelle le code ; chaque tracé porte le nom de son auteur</t>
        </is>
      </c>
      <c r="G27" s="5" t="inlineStr">
        <is>
          <t>Fait</t>
        </is>
      </c>
      <c r="H27" s="6" t="inlineStr">
        <is>
          <t>—</t>
        </is>
      </c>
      <c r="I27" s="20" t="n">
        <v>3</v>
      </c>
      <c r="J27" s="3" t="inlineStr">
        <is>
          <t>—</t>
        </is>
      </c>
      <c r="K27" s="5" t="n"/>
      <c r="L27" s="7" t="n"/>
      <c r="M27" s="8" t="n">
        <v>1</v>
      </c>
      <c r="N27" s="9" t="n"/>
    </row>
    <row r="28" ht="46" customHeight="1">
      <c r="A28" s="2" t="inlineStr">
        <is>
          <t>US-24</t>
        </is>
      </c>
      <c r="B28" s="3" t="inlineStr">
        <is>
          <t>3 · Lames de biopsie</t>
        </is>
      </c>
      <c r="C28" s="3" t="inlineStr">
        <is>
          <t>Pathologiste</t>
        </is>
      </c>
      <c r="D28" s="4" t="inlineStr">
        <is>
          <t>annuler mon dernier tracé ou tout effacer</t>
        </is>
      </c>
      <c r="E28" s="4" t="inlineStr">
        <is>
          <t>corriger une erreur de main</t>
        </is>
      </c>
      <c r="F28" s="4" t="inlineStr">
        <is>
          <t>L'annulation retire le dernier tracé ajouté ; l'effacement total demande confirmation</t>
        </is>
      </c>
      <c r="G28" s="5" t="inlineStr">
        <is>
          <t>Fait</t>
        </is>
      </c>
      <c r="H28" s="6" t="inlineStr">
        <is>
          <t>—</t>
        </is>
      </c>
      <c r="I28" s="20" t="n">
        <v>2</v>
      </c>
      <c r="J28" s="3" t="inlineStr">
        <is>
          <t>—</t>
        </is>
      </c>
      <c r="K28" s="5" t="n"/>
      <c r="L28" s="7" t="n"/>
      <c r="M28" s="8" t="n">
        <v>1</v>
      </c>
      <c r="N28" s="9" t="n"/>
    </row>
    <row r="29" ht="46" customHeight="1">
      <c r="A29" s="2" t="inlineStr">
        <is>
          <t>US-25</t>
        </is>
      </c>
      <c r="B29" s="3" t="inlineStr">
        <is>
          <t>3 · Lames de biopsie</t>
        </is>
      </c>
      <c r="C29" s="3" t="inlineStr">
        <is>
          <t>Pathologiste</t>
        </is>
      </c>
      <c r="D29" s="4" t="inlineStr">
        <is>
          <t>capturer la vue courante en image</t>
        </is>
      </c>
      <c r="E29" s="4" t="inlineStr">
        <is>
          <t>l'insérer dans un document</t>
        </is>
      </c>
      <c r="F29" s="4" t="inlineStr">
        <is>
          <t>L'export reprend la lame et les tracés visibles ; le fichier se télécharge directement</t>
        </is>
      </c>
      <c r="G29" s="5" t="inlineStr">
        <is>
          <t>Fait</t>
        </is>
      </c>
      <c r="H29" s="6" t="inlineStr">
        <is>
          <t>—</t>
        </is>
      </c>
      <c r="I29" s="20" t="n">
        <v>3</v>
      </c>
      <c r="J29" s="3" t="inlineStr">
        <is>
          <t>—</t>
        </is>
      </c>
      <c r="K29" s="5" t="n"/>
      <c r="L29" s="7" t="n"/>
      <c r="M29" s="8" t="n">
        <v>1</v>
      </c>
      <c r="N29" s="9" t="n"/>
    </row>
    <row r="30" ht="53" customHeight="1">
      <c r="A30" s="2" t="inlineStr">
        <is>
          <t>US-26</t>
        </is>
      </c>
      <c r="B30" s="3" t="inlineStr">
        <is>
          <t>3 · Lames de biopsie</t>
        </is>
      </c>
      <c r="C30" s="3" t="inlineStr">
        <is>
          <t>Pathologiste</t>
        </is>
      </c>
      <c r="D30" s="4" t="inlineStr">
        <is>
          <t>extraire une région d'intérêt</t>
        </is>
      </c>
      <c r="E30" s="4" t="inlineStr">
        <is>
          <t>en faire un dossier d'analyse autonome</t>
        </is>
      </c>
      <c r="F30" s="4" t="inlineStr">
        <is>
          <t>La région encadrée est découpée en image pyramidale ; elle devient une extraction rattachée au patient ; la zone est bornée à 1500 sur 1500 pixels</t>
        </is>
      </c>
      <c r="G30" s="5" t="inlineStr">
        <is>
          <t>Fait</t>
        </is>
      </c>
      <c r="H30" s="6" t="inlineStr">
        <is>
          <t>—</t>
        </is>
      </c>
      <c r="I30" s="20" t="n">
        <v>8</v>
      </c>
      <c r="J30" s="3" t="inlineStr">
        <is>
          <t>—</t>
        </is>
      </c>
      <c r="K30" s="5" t="n"/>
      <c r="L30" s="7" t="n"/>
      <c r="M30" s="8" t="n">
        <v>1</v>
      </c>
      <c r="N30" s="9" t="n"/>
    </row>
    <row r="31" ht="46" customHeight="1">
      <c r="A31" s="2" t="inlineStr">
        <is>
          <t>US-27</t>
        </is>
      </c>
      <c r="B31" s="3" t="inlineStr">
        <is>
          <t>3 · Lames de biopsie</t>
        </is>
      </c>
      <c r="C31" s="3" t="inlineStr">
        <is>
          <t>Praticien</t>
        </is>
      </c>
      <c r="D31" s="4" t="inlineStr">
        <is>
          <t>retirer la lame d'un dossier</t>
        </is>
      </c>
      <c r="E31" s="4" t="inlineStr">
        <is>
          <t>corriger un import erroné</t>
        </is>
      </c>
      <c r="F31" s="4" t="inlineStr">
        <is>
          <t>La lame, ses tuiles et ses extractions sont retirées ; le dossier patient subsiste</t>
        </is>
      </c>
      <c r="G31" s="5" t="inlineStr">
        <is>
          <t>Fait</t>
        </is>
      </c>
      <c r="H31" s="6" t="inlineStr">
        <is>
          <t>—</t>
        </is>
      </c>
      <c r="I31" s="20" t="n">
        <v>3</v>
      </c>
      <c r="J31" s="3" t="inlineStr">
        <is>
          <t>—</t>
        </is>
      </c>
      <c r="K31" s="5" t="n"/>
      <c r="L31" s="7" t="n"/>
      <c r="M31" s="8" t="n">
        <v>1</v>
      </c>
      <c r="N31" s="9" t="n"/>
    </row>
    <row r="32" ht="53" customHeight="1">
      <c r="A32" s="10" t="inlineStr">
        <is>
          <t>US-28a</t>
        </is>
      </c>
      <c r="B32" s="3" t="inlineStr">
        <is>
          <t>3 · Lames de biopsie</t>
        </is>
      </c>
      <c r="C32" s="3" t="inlineStr">
        <is>
          <t>Pathologiste qui importe une lame</t>
        </is>
      </c>
      <c r="D32" s="4" t="inlineStr">
        <is>
          <t>lui donner une date de prélèvement</t>
        </is>
      </c>
      <c r="E32" s="4" t="inlineStr">
        <is>
          <t>qu'elle puisse être placée dans l'histoire du patient</t>
        </is>
      </c>
      <c r="F32" s="4" t="inlineStr">
        <is>
          <t>Date saisie à l'import et enregistrée ; lames existantes : date vide, affichée « Date inconnue », jamais inventée ; date future refusée avec un message</t>
        </is>
      </c>
      <c r="G32" s="5" t="inlineStr">
        <is>
          <t>À faire</t>
        </is>
      </c>
      <c r="H32" s="6" t="inlineStr">
        <is>
          <t>Must</t>
        </is>
      </c>
      <c r="I32" s="20" t="n">
        <v>3</v>
      </c>
      <c r="J32" s="3" t="inlineStr">
        <is>
          <t>—</t>
        </is>
      </c>
      <c r="K32" s="5" t="n"/>
      <c r="L32" s="7" t="n"/>
      <c r="M32" s="8" t="n">
        <v>0</v>
      </c>
      <c r="N32" s="9" t="n"/>
    </row>
    <row r="33" ht="53" customHeight="1">
      <c r="A33" s="10" t="inlineStr">
        <is>
          <t>US-28b</t>
        </is>
      </c>
      <c r="B33" s="3" t="inlineStr">
        <is>
          <t>3 · Lames de biopsie</t>
        </is>
      </c>
      <c r="C33" s="3" t="inlineStr">
        <is>
          <t>Pathologiste qui suit un patient après traitement</t>
        </is>
      </c>
      <c r="D33" s="4" t="inlineStr">
        <is>
          <t>rattacher une nouvelle lame à un dossier qui en contient déjà une</t>
        </is>
      </c>
      <c r="E33" s="4" t="inlineStr">
        <is>
          <t>ne pas créer un second dossier pour le même patient</t>
        </is>
      </c>
      <c r="F33" s="4" t="inlineStr">
        <is>
          <t>Le second import réussit, le dossier contient deux lames ; le même fichier importé deux fois reste refusé avec un message</t>
        </is>
      </c>
      <c r="G33" s="5" t="inlineStr">
        <is>
          <t>À faire</t>
        </is>
      </c>
      <c r="H33" s="6" t="inlineStr">
        <is>
          <t>Must</t>
        </is>
      </c>
      <c r="I33" s="20" t="n">
        <v>5</v>
      </c>
      <c r="J33" s="3" t="inlineStr">
        <is>
          <t>US-28a</t>
        </is>
      </c>
      <c r="K33" s="5" t="n"/>
      <c r="L33" s="7" t="n"/>
      <c r="M33" s="8" t="n">
        <v>0</v>
      </c>
      <c r="N33" s="9" t="n"/>
    </row>
    <row r="34" ht="53" customHeight="1">
      <c r="A34" s="10" t="inlineStr">
        <is>
          <t>US-28c</t>
        </is>
      </c>
      <c r="B34" s="3" t="inlineStr">
        <is>
          <t>3 · Lames de biopsie</t>
        </is>
      </c>
      <c r="C34" s="3" t="inlineStr">
        <is>
          <t>Pathologiste qui ouvre un dossier à plusieurs lames</t>
        </is>
      </c>
      <c r="D34" s="4" t="inlineStr">
        <is>
          <t>qu'elles soient rendues dans l'ordre des prélèvements</t>
        </is>
      </c>
      <c r="E34" s="4" t="inlineStr">
        <is>
          <t>que la frise et le sélecteur n'aient pas à les trier</t>
        </is>
      </c>
      <c r="F34" s="4" t="inlineStr">
        <is>
          <t>Lames rendues du plus récent au plus ancien ; une lame sans date arrive en dernier</t>
        </is>
      </c>
      <c r="G34" s="5" t="inlineStr">
        <is>
          <t>À faire</t>
        </is>
      </c>
      <c r="H34" s="6" t="inlineStr">
        <is>
          <t>Must</t>
        </is>
      </c>
      <c r="I34" s="20" t="n">
        <v>2</v>
      </c>
      <c r="J34" s="3" t="inlineStr">
        <is>
          <t>US-28b</t>
        </is>
      </c>
      <c r="K34" s="5" t="n"/>
      <c r="L34" s="7" t="n"/>
      <c r="M34" s="8" t="n">
        <v>0</v>
      </c>
      <c r="N34" s="9" t="n"/>
    </row>
    <row r="35" ht="53" customHeight="1">
      <c r="A35" s="10" t="inlineStr">
        <is>
          <t>US-29</t>
        </is>
      </c>
      <c r="B35" s="3" t="inlineStr">
        <is>
          <t>3 · Lames de biopsie</t>
        </is>
      </c>
      <c r="C35" s="3" t="inlineStr">
        <is>
          <t>Pathologiste qui prépare une réunion de concertation</t>
        </is>
      </c>
      <c r="D35" s="4" t="inlineStr">
        <is>
          <t>voir lames et examens sur une même frise datée</t>
        </is>
      </c>
      <c r="E35" s="4" t="inlineStr">
        <is>
          <t>lire l'évolution d'une lésion d'un coup d'œil</t>
        </is>
      </c>
      <c r="F35" s="4" t="inlineStr">
        <is>
          <t>Événements du plus récent au plus ancien avec date et type ; clic sur une lame : la visionneuse s'ouvre dessus ; un seul événement : affiché sans erreur</t>
        </is>
      </c>
      <c r="G35" s="5" t="inlineStr">
        <is>
          <t>À faire</t>
        </is>
      </c>
      <c r="H35" s="6" t="inlineStr">
        <is>
          <t>Must</t>
        </is>
      </c>
      <c r="I35" s="20" t="n">
        <v>5</v>
      </c>
      <c r="J35" s="3" t="inlineStr">
        <is>
          <t>US-28c, US-39</t>
        </is>
      </c>
      <c r="K35" s="5" t="n"/>
      <c r="L35" s="7" t="n"/>
      <c r="M35" s="8" t="n">
        <v>0</v>
      </c>
      <c r="N35" s="9" t="n"/>
    </row>
    <row r="36" ht="53" customHeight="1">
      <c r="A36" s="10" t="inlineStr">
        <is>
          <t>US-30</t>
        </is>
      </c>
      <c r="B36" s="3" t="inlineStr">
        <is>
          <t>3 · Lames de biopsie</t>
        </is>
      </c>
      <c r="C36" s="3" t="inlineStr">
        <is>
          <t>Pathologiste qui compare mentalement deux prélèvements</t>
        </is>
      </c>
      <c r="D36" s="4" t="inlineStr">
        <is>
          <t>passer d'une lame à l'autre sans quitter la visionneuse</t>
        </is>
      </c>
      <c r="E36" s="4" t="inlineStr">
        <is>
          <t>ne pas perdre mon contexte</t>
        </is>
      </c>
      <c r="F36" s="4" t="inlineStr">
        <is>
          <t>Le sélecteur change la lame et indique sa date ; le grossissement est conservé quand la lame le permet ; une seule lame : pas de sélecteur</t>
        </is>
      </c>
      <c r="G36" s="5" t="inlineStr">
        <is>
          <t>À faire</t>
        </is>
      </c>
      <c r="H36" s="6" t="inlineStr">
        <is>
          <t>Must</t>
        </is>
      </c>
      <c r="I36" s="20" t="n">
        <v>5</v>
      </c>
      <c r="J36" s="3" t="inlineStr">
        <is>
          <t>US-28c</t>
        </is>
      </c>
      <c r="K36" s="5" t="n"/>
      <c r="L36" s="7" t="n"/>
      <c r="M36" s="8" t="n">
        <v>0</v>
      </c>
      <c r="N36" s="9" t="n"/>
    </row>
    <row r="37" ht="53" customHeight="1">
      <c r="A37" s="10" t="inlineStr">
        <is>
          <t>US-31</t>
        </is>
      </c>
      <c r="B37" s="3" t="inlineStr">
        <is>
          <t>3 · Lames de biopsie</t>
        </is>
      </c>
      <c r="C37" s="3" t="inlineStr">
        <is>
          <t>Pathologiste qui juge la réponse à un traitement</t>
        </is>
      </c>
      <c r="D37" s="4" t="inlineStr">
        <is>
          <t>afficher deux lames côte à côte</t>
        </is>
      </c>
      <c r="E37" s="4" t="inlineStr">
        <is>
          <t>comparer la même zone avant et après</t>
        </is>
      </c>
      <c r="F37" s="4" t="inlineStr">
        <is>
          <t>Zoom et déplacement synchronisés ; synchronisation désactivable ; deux lames de plus de 2 Go pendant dix minutes sans plantage de l'onglet</t>
        </is>
      </c>
      <c r="G37" s="5" t="inlineStr">
        <is>
          <t>À faire</t>
        </is>
      </c>
      <c r="H37" s="6" t="inlineStr">
        <is>
          <t>Should</t>
        </is>
      </c>
      <c r="I37" s="20" t="n">
        <v>5</v>
      </c>
      <c r="J37" s="3" t="inlineStr">
        <is>
          <t>US-30</t>
        </is>
      </c>
      <c r="K37" s="5" t="n"/>
      <c r="L37" s="7" t="n"/>
      <c r="M37" s="8" t="n">
        <v>0</v>
      </c>
      <c r="N37" s="9" t="n"/>
    </row>
    <row r="38" ht="53" customHeight="1">
      <c r="A38" s="2" t="inlineStr">
        <is>
          <t>US-32</t>
        </is>
      </c>
      <c r="B38" s="3" t="inlineStr">
        <is>
          <t>4 · Radiologie DICOM</t>
        </is>
      </c>
      <c r="C38" s="3" t="inlineStr">
        <is>
          <t>Radiologue</t>
        </is>
      </c>
      <c r="D38" s="4" t="inlineStr">
        <is>
          <t>importer un examen DICOM</t>
        </is>
      </c>
      <c r="E38" s="4" t="inlineStr">
        <is>
          <t>le lire dans la plateforme</t>
        </is>
      </c>
      <c r="F38" s="4" t="inlineStr">
        <is>
          <t>Le fichier est indexé par le PACS ; modalité, description et date sont lues sur les métadonnées, jamais saisies à la main ; le même fichier importé deux fois ne crée pas de doublon</t>
        </is>
      </c>
      <c r="G38" s="5" t="inlineStr">
        <is>
          <t>Fait</t>
        </is>
      </c>
      <c r="H38" s="6" t="inlineStr">
        <is>
          <t>—</t>
        </is>
      </c>
      <c r="I38" s="20" t="n">
        <v>8</v>
      </c>
      <c r="J38" s="3" t="inlineStr">
        <is>
          <t>—</t>
        </is>
      </c>
      <c r="K38" s="5" t="n"/>
      <c r="L38" s="7" t="n"/>
      <c r="M38" s="8" t="n">
        <v>1</v>
      </c>
      <c r="N38" s="9" t="n"/>
    </row>
    <row r="39" ht="53" customHeight="1">
      <c r="A39" s="2" t="inlineStr">
        <is>
          <t>US-33</t>
        </is>
      </c>
      <c r="B39" s="3" t="inlineStr">
        <is>
          <t>4 · Radiologie DICOM</t>
        </is>
      </c>
      <c r="C39" s="3" t="inlineStr">
        <is>
          <t>Radiologue</t>
        </is>
      </c>
      <c r="D39" s="4" t="inlineStr">
        <is>
          <t>afficher l'examen</t>
        </is>
      </c>
      <c r="E39" s="4" t="inlineStr">
        <is>
          <t>l'interpréter</t>
        </is>
      </c>
      <c r="F39" s="4" t="inlineStr">
        <is>
          <t>L'image s'affiche dans le navigateur sans logiciel tiers ; le chargement passe par le PACS et non par un fichier téléchargé</t>
        </is>
      </c>
      <c r="G39" s="5" t="inlineStr">
        <is>
          <t>Fait</t>
        </is>
      </c>
      <c r="H39" s="6" t="inlineStr">
        <is>
          <t>—</t>
        </is>
      </c>
      <c r="I39" s="20" t="n">
        <v>5</v>
      </c>
      <c r="J39" s="3" t="inlineStr">
        <is>
          <t>—</t>
        </is>
      </c>
      <c r="K39" s="5" t="n"/>
      <c r="L39" s="7" t="n"/>
      <c r="M39" s="8" t="n">
        <v>1</v>
      </c>
      <c r="N39" s="9" t="n"/>
    </row>
    <row r="40" ht="53" customHeight="1">
      <c r="A40" s="2" t="inlineStr">
        <is>
          <t>US-34</t>
        </is>
      </c>
      <c r="B40" s="3" t="inlineStr">
        <is>
          <t>4 · Radiologie DICOM</t>
        </is>
      </c>
      <c r="C40" s="3" t="inlineStr">
        <is>
          <t>Radiologue</t>
        </is>
      </c>
      <c r="D40" s="4" t="inlineStr">
        <is>
          <t>disposer de mes outils de mesure habituels</t>
        </is>
      </c>
      <c r="E40" s="4" t="inlineStr">
        <is>
          <t>travailler comme sur ma station</t>
        </is>
      </c>
      <c r="F40" s="4" t="inlineStr">
        <is>
          <t>Huit outils sont disponibles : contraste, déplacement, zoom, distance, région rectangulaire, région elliptique, annotation fléchée, gomme ; l'outil actif est visible</t>
        </is>
      </c>
      <c r="G40" s="5" t="inlineStr">
        <is>
          <t>Fait</t>
        </is>
      </c>
      <c r="H40" s="6" t="inlineStr">
        <is>
          <t>—</t>
        </is>
      </c>
      <c r="I40" s="20" t="n">
        <v>8</v>
      </c>
      <c r="J40" s="3" t="inlineStr">
        <is>
          <t>—</t>
        </is>
      </c>
      <c r="K40" s="5" t="n"/>
      <c r="L40" s="7" t="n"/>
      <c r="M40" s="8" t="n">
        <v>1</v>
      </c>
      <c r="N40" s="9" t="n"/>
    </row>
    <row r="41" ht="46" customHeight="1">
      <c r="A41" s="2" t="inlineStr">
        <is>
          <t>US-35</t>
        </is>
      </c>
      <c r="B41" s="3" t="inlineStr">
        <is>
          <t>4 · Radiologie DICOM</t>
        </is>
      </c>
      <c r="C41" s="3" t="inlineStr">
        <is>
          <t>Radiologue</t>
        </is>
      </c>
      <c r="D41" s="4" t="inlineStr">
        <is>
          <t>rédiger le compte rendu en regard de l'image</t>
        </is>
      </c>
      <c r="E41" s="4" t="inlineStr">
        <is>
          <t>ne pas changer de fenêtre</t>
        </is>
      </c>
      <c r="F41" s="4" t="inlineStr">
        <is>
          <t>Le champ de saisie est affiché à côté de l'image ; l'enregistrement est explicite ; le texte est relu à la réouverture</t>
        </is>
      </c>
      <c r="G41" s="5" t="inlineStr">
        <is>
          <t>Fait</t>
        </is>
      </c>
      <c r="H41" s="6" t="inlineStr">
        <is>
          <t>—</t>
        </is>
      </c>
      <c r="I41" s="20" t="n">
        <v>3</v>
      </c>
      <c r="J41" s="3" t="inlineStr">
        <is>
          <t>—</t>
        </is>
      </c>
      <c r="K41" s="5" t="n"/>
      <c r="L41" s="7" t="n"/>
      <c r="M41" s="8" t="n">
        <v>1</v>
      </c>
      <c r="N41" s="9" t="n"/>
    </row>
    <row r="42" ht="46" customHeight="1">
      <c r="A42" s="2" t="inlineStr">
        <is>
          <t>US-36</t>
        </is>
      </c>
      <c r="B42" s="3" t="inlineStr">
        <is>
          <t>4 · Radiologie DICOM</t>
        </is>
      </c>
      <c r="C42" s="3" t="inlineStr">
        <is>
          <t>Radiologue</t>
        </is>
      </c>
      <c r="D42" s="4" t="inlineStr">
        <is>
          <t>retrouver mes annotations d'une session à l'autre</t>
        </is>
      </c>
      <c r="E42" s="4" t="inlineStr">
        <is>
          <t>reprendre mon travail</t>
        </is>
      </c>
      <c r="F42" s="4" t="inlineStr">
        <is>
          <t>Les mesures et régions sont enregistrées avec le compte rendu ; elles se replacent exactement à la réouverture</t>
        </is>
      </c>
      <c r="G42" s="5" t="inlineStr">
        <is>
          <t>Fait</t>
        </is>
      </c>
      <c r="H42" s="6" t="inlineStr">
        <is>
          <t>—</t>
        </is>
      </c>
      <c r="I42" s="20" t="n">
        <v>5</v>
      </c>
      <c r="J42" s="3" t="inlineStr">
        <is>
          <t>—</t>
        </is>
      </c>
      <c r="K42" s="5" t="n"/>
      <c r="L42" s="7" t="n"/>
      <c r="M42" s="8" t="n">
        <v>1</v>
      </c>
      <c r="N42" s="9" t="n"/>
    </row>
    <row r="43" ht="46" customHeight="1">
      <c r="A43" s="2" t="inlineStr">
        <is>
          <t>US-37</t>
        </is>
      </c>
      <c r="B43" s="3" t="inlineStr">
        <is>
          <t>4 · Radiologie DICOM</t>
        </is>
      </c>
      <c r="C43" s="3" t="inlineStr">
        <is>
          <t>Radiologue</t>
        </is>
      </c>
      <c r="D43" s="4" t="inlineStr">
        <is>
          <t>exporter le compte rendu en PDF</t>
        </is>
      </c>
      <c r="E43" s="4" t="inlineStr">
        <is>
          <t>le transmettre</t>
        </is>
      </c>
      <c r="F43" s="4" t="inlineStr">
        <is>
          <t>Le PDF reprend l'identité du dossier, la date et les observations ; il se télécharge directement</t>
        </is>
      </c>
      <c r="G43" s="5" t="inlineStr">
        <is>
          <t>Fait</t>
        </is>
      </c>
      <c r="H43" s="6" t="inlineStr">
        <is>
          <t>—</t>
        </is>
      </c>
      <c r="I43" s="20" t="n">
        <v>3</v>
      </c>
      <c r="J43" s="3" t="inlineStr">
        <is>
          <t>—</t>
        </is>
      </c>
      <c r="K43" s="5" t="n"/>
      <c r="L43" s="7" t="n"/>
      <c r="M43" s="8" t="n">
        <v>1</v>
      </c>
      <c r="N43" s="9" t="n"/>
    </row>
    <row r="44" ht="46" customHeight="1">
      <c r="A44" s="2" t="inlineStr">
        <is>
          <t>US-38</t>
        </is>
      </c>
      <c r="B44" s="3" t="inlineStr">
        <is>
          <t>4 · Radiologie DICOM</t>
        </is>
      </c>
      <c r="C44" s="3" t="inlineStr">
        <is>
          <t>Praticien</t>
        </is>
      </c>
      <c r="D44" s="4" t="inlineStr">
        <is>
          <t>détacher un examen d'un dossier</t>
        </is>
      </c>
      <c r="E44" s="4" t="inlineStr">
        <is>
          <t>corriger un rattachement erroné</t>
        </is>
      </c>
      <c r="F44" s="4" t="inlineStr">
        <is>
          <t>L'examen disparaît du dossier ; l'étude reste dans le PACS, et l'interface l'annonce</t>
        </is>
      </c>
      <c r="G44" s="5" t="inlineStr">
        <is>
          <t>Fait</t>
        </is>
      </c>
      <c r="H44" s="6" t="inlineStr">
        <is>
          <t>—</t>
        </is>
      </c>
      <c r="I44" s="20" t="n">
        <v>3</v>
      </c>
      <c r="J44" s="3" t="inlineStr">
        <is>
          <t>—</t>
        </is>
      </c>
      <c r="K44" s="5" t="n"/>
      <c r="L44" s="7" t="n"/>
      <c r="M44" s="8" t="n">
        <v>1</v>
      </c>
      <c r="N44" s="9" t="n"/>
    </row>
    <row r="45" ht="53" customHeight="1">
      <c r="A45" s="10" t="inlineStr">
        <is>
          <t>US-39</t>
        </is>
      </c>
      <c r="B45" s="3" t="inlineStr">
        <is>
          <t>4 · Radiologie DICOM</t>
        </is>
      </c>
      <c r="C45" s="3" t="inlineStr">
        <is>
          <t>Radiologue qui interprète un examen de contrôle</t>
        </is>
      </c>
      <c r="D45" s="4" t="inlineStr">
        <is>
          <t>le rattacher au dossier qui contient déjà l'examen initial</t>
        </is>
      </c>
      <c r="E45" s="4" t="inlineStr">
        <is>
          <t>comparer les deux</t>
        </is>
      </c>
      <c r="F45" s="4" t="inlineStr">
        <is>
          <t>Le second examen est accepté, listé du plus récent au plus ancien ; date lue dans les métadonnées DICOM ; étude déjà rattachée : pas de doublon</t>
        </is>
      </c>
      <c r="G45" s="5" t="inlineStr">
        <is>
          <t>À faire</t>
        </is>
      </c>
      <c r="H45" s="6" t="inlineStr">
        <is>
          <t>Must</t>
        </is>
      </c>
      <c r="I45" s="20" t="n">
        <v>5</v>
      </c>
      <c r="J45" s="3" t="inlineStr">
        <is>
          <t>—</t>
        </is>
      </c>
      <c r="K45" s="5" t="n"/>
      <c r="L45" s="7" t="n"/>
      <c r="M45" s="8" t="n">
        <v>0</v>
      </c>
      <c r="N45" s="9" t="n"/>
    </row>
    <row r="46" ht="53" customHeight="1">
      <c r="A46" s="2" t="inlineStr">
        <is>
          <t>US-40</t>
        </is>
      </c>
      <c r="B46" s="3" t="inlineStr">
        <is>
          <t>5 · Aide au diagnostic</t>
        </is>
      </c>
      <c r="C46" s="3" t="inlineStr">
        <is>
          <t>Pathologiste</t>
        </is>
      </c>
      <c r="D46" s="4" t="inlineStr">
        <is>
          <t>lancer une analyse sur une zone de la lame</t>
        </is>
      </c>
      <c r="E46" s="4" t="inlineStr">
        <is>
          <t>obtenir une aide à la lecture</t>
        </is>
      </c>
      <c r="F46" s="4" t="inlineStr">
        <is>
          <t>La zone sélectionnée est envoyée au service de segmentation ; un service indisponible affiche une erreur explicite, pas un écran figé</t>
        </is>
      </c>
      <c r="G46" s="5" t="inlineStr">
        <is>
          <t>Fait</t>
        </is>
      </c>
      <c r="H46" s="6" t="inlineStr">
        <is>
          <t>—</t>
        </is>
      </c>
      <c r="I46" s="20" t="n">
        <v>5</v>
      </c>
      <c r="J46" s="3" t="inlineStr">
        <is>
          <t>—</t>
        </is>
      </c>
      <c r="K46" s="5" t="n"/>
      <c r="L46" s="7" t="n"/>
      <c r="M46" s="8" t="n">
        <v>1</v>
      </c>
      <c r="N46" s="9" t="n"/>
    </row>
    <row r="47" ht="46" customHeight="1">
      <c r="A47" s="2" t="inlineStr">
        <is>
          <t>US-41</t>
        </is>
      </c>
      <c r="B47" s="3" t="inlineStr">
        <is>
          <t>5 · Aide au diagnostic</t>
        </is>
      </c>
      <c r="C47" s="3" t="inlineStr">
        <is>
          <t>Pathologiste</t>
        </is>
      </c>
      <c r="D47" s="4" t="inlineStr">
        <is>
          <t>voir les noyaux détectés sur la lame</t>
        </is>
      </c>
      <c r="E47" s="4" t="inlineStr">
        <is>
          <t>vérifier ce que la machine a compté</t>
        </is>
      </c>
      <c r="F47" s="4" t="inlineStr">
        <is>
          <t>Les contours se superposent à l'image dans son propre repère ; la surcouche se masque</t>
        </is>
      </c>
      <c r="G47" s="5" t="inlineStr">
        <is>
          <t>Fait</t>
        </is>
      </c>
      <c r="H47" s="6" t="inlineStr">
        <is>
          <t>—</t>
        </is>
      </c>
      <c r="I47" s="20" t="n">
        <v>5</v>
      </c>
      <c r="J47" s="3" t="inlineStr">
        <is>
          <t>—</t>
        </is>
      </c>
      <c r="K47" s="5" t="n"/>
      <c r="L47" s="7" t="n"/>
      <c r="M47" s="8" t="n">
        <v>1</v>
      </c>
      <c r="N47" s="9" t="n"/>
    </row>
    <row r="48" ht="53" customHeight="1">
      <c r="A48" s="2" t="inlineStr">
        <is>
          <t>US-42</t>
        </is>
      </c>
      <c r="B48" s="3" t="inlineStr">
        <is>
          <t>5 · Aide au diagnostic</t>
        </is>
      </c>
      <c r="C48" s="3" t="inlineStr">
        <is>
          <t>Pathologiste</t>
        </is>
      </c>
      <c r="D48" s="4" t="inlineStr">
        <is>
          <t>lire les indicateurs calculés</t>
        </is>
      </c>
      <c r="E48" s="4" t="inlineStr">
        <is>
          <t>situer la zone analysée</t>
        </is>
      </c>
      <c r="F48" s="4" t="inlineStr">
        <is>
          <t>Nombre de noyaux, densité cellulaire, taille moyenne et étiquette de pléomorphisme sont affichés ; le temps de traitement est indiqué</t>
        </is>
      </c>
      <c r="G48" s="5" t="inlineStr">
        <is>
          <t>Fait</t>
        </is>
      </c>
      <c r="H48" s="6" t="inlineStr">
        <is>
          <t>—</t>
        </is>
      </c>
      <c r="I48" s="20" t="n">
        <v>3</v>
      </c>
      <c r="J48" s="3" t="inlineStr">
        <is>
          <t>—</t>
        </is>
      </c>
      <c r="K48" s="5" t="n"/>
      <c r="L48" s="7" t="n"/>
      <c r="M48" s="8" t="n">
        <v>1</v>
      </c>
      <c r="N48" s="9" t="n"/>
    </row>
    <row r="49" ht="53" customHeight="1">
      <c r="A49" s="10" t="inlineStr">
        <is>
          <t>US-43a</t>
        </is>
      </c>
      <c r="B49" s="3" t="inlineStr">
        <is>
          <t>5 · Aide au diagnostic</t>
        </is>
      </c>
      <c r="C49" s="3" t="inlineStr">
        <is>
          <t>Data scientist qui prépare l'entraînement</t>
        </is>
      </c>
      <c r="D49" s="4" t="inlineStr">
        <is>
          <t>un jeu de lames annotées et documenté dont le découpage se fait par patient</t>
        </is>
      </c>
      <c r="E49" s="4" t="inlineStr">
        <is>
          <t>que l'évaluation du modèle ne soit pas faussée</t>
        </is>
      </c>
      <c r="F49" s="4" t="inlineStr">
        <is>
          <t>Aucun patient dans deux sous-ensembles (entraînement, validation, test) ; fiche : source, licence, nombre de patients et de patchs par classe</t>
        </is>
      </c>
      <c r="G49" s="5" t="inlineStr">
        <is>
          <t>À faire</t>
        </is>
      </c>
      <c r="H49" s="6" t="inlineStr">
        <is>
          <t>Could</t>
        </is>
      </c>
      <c r="I49" s="20" t="n">
        <v>8</v>
      </c>
      <c r="J49" s="3" t="inlineStr">
        <is>
          <t>—</t>
        </is>
      </c>
      <c r="K49" s="5" t="n"/>
      <c r="L49" s="7" t="n"/>
      <c r="M49" s="8" t="n">
        <v>0</v>
      </c>
      <c r="N49" s="9" t="n"/>
    </row>
    <row r="50" ht="53" customHeight="1">
      <c r="A50" s="10" t="inlineStr">
        <is>
          <t>US-43b</t>
        </is>
      </c>
      <c r="B50" s="3" t="inlineStr">
        <is>
          <t>5 · Aide au diagnostic</t>
        </is>
      </c>
      <c r="C50" s="3" t="inlineStr">
        <is>
          <t>Data scientist</t>
        </is>
      </c>
      <c r="D50" s="4" t="inlineStr">
        <is>
          <t>entraîner un modèle de classification et publier ses métriques sur le jeu de test</t>
        </is>
      </c>
      <c r="E50" s="4" t="inlineStr">
        <is>
          <t>qu'on sache ce qu'il vaut avant de l'exposer</t>
        </is>
      </c>
      <c r="F50" s="4" t="inlineStr">
        <is>
          <t>Sensibilité, spécificité et seuil enregistrés avec un numéro de version, calculés sur le jeu de test ; même graine et mêmes données : mêmes métriques à 1 % près</t>
        </is>
      </c>
      <c r="G50" s="5" t="inlineStr">
        <is>
          <t>À faire</t>
        </is>
      </c>
      <c r="H50" s="6" t="inlineStr">
        <is>
          <t>Could</t>
        </is>
      </c>
      <c r="I50" s="20" t="n">
        <v>8</v>
      </c>
      <c r="J50" s="3" t="inlineStr">
        <is>
          <t>US-43a</t>
        </is>
      </c>
      <c r="K50" s="5" t="n"/>
      <c r="L50" s="7" t="n"/>
      <c r="M50" s="8" t="n">
        <v>0</v>
      </c>
      <c r="N50" s="9" t="n"/>
    </row>
    <row r="51" ht="53" customHeight="1">
      <c r="A51" s="10" t="inlineStr">
        <is>
          <t>US-43c</t>
        </is>
      </c>
      <c r="B51" s="3" t="inlineStr">
        <is>
          <t>5 · Aide au diagnostic</t>
        </is>
      </c>
      <c r="C51" s="3" t="inlineStr">
        <is>
          <t>Pathologiste qui analyse une zone de lame</t>
        </is>
      </c>
      <c r="D51" s="4" t="inlineStr">
        <is>
          <t>que la plateforme interroge le modèle et reçoive des zones classées avec un score</t>
        </is>
      </c>
      <c r="E51" s="4" t="inlineStr">
        <is>
          <t>en disposer dans la visionneuse</t>
        </is>
      </c>
      <c r="F51" s="4" t="inlineStr">
        <is>
          <t>Le service renvoie zones, classe, score et version du modèle ; service indisponible : message explicite, la segmentation actuelle reste utilisable</t>
        </is>
      </c>
      <c r="G51" s="5" t="inlineStr">
        <is>
          <t>À faire</t>
        </is>
      </c>
      <c r="H51" s="6" t="inlineStr">
        <is>
          <t>Could</t>
        </is>
      </c>
      <c r="I51" s="20" t="n">
        <v>5</v>
      </c>
      <c r="J51" s="3" t="inlineStr">
        <is>
          <t>US-43b</t>
        </is>
      </c>
      <c r="K51" s="5" t="n"/>
      <c r="L51" s="7" t="n"/>
      <c r="M51" s="8" t="n">
        <v>0</v>
      </c>
      <c r="N51" s="9" t="n"/>
    </row>
    <row r="52" ht="53" customHeight="1">
      <c r="A52" s="10" t="inlineStr">
        <is>
          <t>US-43d</t>
        </is>
      </c>
      <c r="B52" s="3" t="inlineStr">
        <is>
          <t>5 · Aide au diagnostic</t>
        </is>
      </c>
      <c r="C52" s="3" t="inlineStr">
        <is>
          <t>Pathologiste qui lit une grande lame</t>
        </is>
      </c>
      <c r="D52" s="4" t="inlineStr">
        <is>
          <t>voir les zones suspectes numérotées et leur score</t>
        </is>
      </c>
      <c r="E52" s="4" t="inlineStr">
        <is>
          <t>ne pas balayer toute la lame</t>
        </is>
      </c>
      <c r="F52" s="4" t="inlineStr">
        <is>
          <t>Zones numérotées sur la lame et dans la liste latérale ; clic dans la liste : la vue se centre sur la zone ; aucune zone au-dessus du seuil : le panneau le dit</t>
        </is>
      </c>
      <c r="G52" s="5" t="inlineStr">
        <is>
          <t>À faire</t>
        </is>
      </c>
      <c r="H52" s="6" t="inlineStr">
        <is>
          <t>Could</t>
        </is>
      </c>
      <c r="I52" s="20" t="n">
        <v>5</v>
      </c>
      <c r="J52" s="3" t="inlineStr">
        <is>
          <t>US-43c</t>
        </is>
      </c>
      <c r="K52" s="5" t="n"/>
      <c r="L52" s="7" t="n"/>
      <c r="M52" s="8" t="n">
        <v>0</v>
      </c>
      <c r="N52" s="9" t="n"/>
    </row>
    <row r="53" ht="53" customHeight="1">
      <c r="A53" s="10" t="inlineStr">
        <is>
          <t>US-44</t>
        </is>
      </c>
      <c r="B53" s="3" t="inlineStr">
        <is>
          <t>5 · Aide au diagnostic</t>
        </is>
      </c>
      <c r="C53" s="3" t="inlineStr">
        <is>
          <t>Pathologiste qui relit une analyse six mois plus tard</t>
        </is>
      </c>
      <c r="D53" s="4" t="inlineStr">
        <is>
          <t>connaître la version du modèle et le seuil utilisés</t>
        </is>
      </c>
      <c r="E53" s="4" t="inlineStr">
        <is>
          <t>interpréter le score</t>
        </is>
      </c>
      <c r="F53" s="4" t="inlineStr">
        <is>
          <t>Version et seuil enregistrés avec l'extraction ; après une nouvelle version du modèle, l'ancienne analyse affiche toujours sa version et son seuil</t>
        </is>
      </c>
      <c r="G53" s="5" t="inlineStr">
        <is>
          <t>À faire</t>
        </is>
      </c>
      <c r="H53" s="6" t="inlineStr">
        <is>
          <t>Could</t>
        </is>
      </c>
      <c r="I53" s="20" t="n">
        <v>3</v>
      </c>
      <c r="J53" s="3" t="inlineStr">
        <is>
          <t>US-43c</t>
        </is>
      </c>
      <c r="K53" s="5" t="n"/>
      <c r="L53" s="7" t="n"/>
      <c r="M53" s="8" t="n">
        <v>0</v>
      </c>
      <c r="N53" s="9" t="n"/>
    </row>
    <row r="54" ht="46" customHeight="1">
      <c r="A54" s="10" t="inlineStr">
        <is>
          <t>US-45</t>
        </is>
      </c>
      <c r="B54" s="3" t="inlineStr">
        <is>
          <t>5 · Aide au diagnostic</t>
        </is>
      </c>
      <c r="C54" s="3" t="inlineStr">
        <is>
          <t>Établissement responsable des usages</t>
        </is>
      </c>
      <c r="D54" s="4" t="inlineStr">
        <is>
          <t>qu'une mention accompagne chaque score</t>
        </is>
      </c>
      <c r="E54" s="4" t="inlineStr">
        <is>
          <t>que personne ne le prenne pour un diagnostic</t>
        </is>
      </c>
      <c r="F54" s="4" t="inlineStr">
        <is>
          <t>Mention visible avec chaque score, jamais masquable ; un clic affiche sensibilité et spécificité mesurées</t>
        </is>
      </c>
      <c r="G54" s="5" t="inlineStr">
        <is>
          <t>À faire</t>
        </is>
      </c>
      <c r="H54" s="6" t="inlineStr">
        <is>
          <t>Could</t>
        </is>
      </c>
      <c r="I54" s="20" t="n">
        <v>2</v>
      </c>
      <c r="J54" s="3" t="inlineStr">
        <is>
          <t>US-43d</t>
        </is>
      </c>
      <c r="K54" s="5" t="n"/>
      <c r="L54" s="7" t="n"/>
      <c r="M54" s="8" t="n">
        <v>0</v>
      </c>
      <c r="N54" s="9" t="n"/>
    </row>
    <row r="55" ht="53" customHeight="1">
      <c r="A55" s="2" t="inlineStr">
        <is>
          <t>US-46</t>
        </is>
      </c>
      <c r="B55" s="3" t="inlineStr">
        <is>
          <t>6 · Compte rendu</t>
        </is>
      </c>
      <c r="C55" s="3" t="inlineStr">
        <is>
          <t>Pathologiste</t>
        </is>
      </c>
      <c r="D55" s="4" t="inlineStr">
        <is>
          <t>être guidé par les quatre étapes du protocole</t>
        </is>
      </c>
      <c r="E55" s="4" t="inlineStr">
        <is>
          <t>ne pas avoir à les mémoriser</t>
        </is>
      </c>
      <c r="F55" s="4" t="inlineStr">
        <is>
          <t>Prélèvement, préparation, microscopie et diagnostic se succèdent dans cet ordre ; chaque étape présente son propre formulaire</t>
        </is>
      </c>
      <c r="G55" s="5" t="inlineStr">
        <is>
          <t>Fait</t>
        </is>
      </c>
      <c r="H55" s="6" t="inlineStr">
        <is>
          <t>—</t>
        </is>
      </c>
      <c r="I55" s="20" t="n">
        <v>5</v>
      </c>
      <c r="J55" s="3" t="inlineStr">
        <is>
          <t>—</t>
        </is>
      </c>
      <c r="K55" s="5" t="n"/>
      <c r="L55" s="7" t="n"/>
      <c r="M55" s="8" t="n">
        <v>1</v>
      </c>
      <c r="N55" s="9" t="n"/>
    </row>
    <row r="56" ht="46" customHeight="1">
      <c r="A56" s="2" t="inlineStr">
        <is>
          <t>US-47</t>
        </is>
      </c>
      <c r="B56" s="3" t="inlineStr">
        <is>
          <t>6 · Compte rendu</t>
        </is>
      </c>
      <c r="C56" s="3" t="inlineStr">
        <is>
          <t>Établissement</t>
        </is>
      </c>
      <c r="D56" s="4" t="inlineStr">
        <is>
          <t>qu'aucune étape ne puisse être sautée</t>
        </is>
      </c>
      <c r="E56" s="4" t="inlineStr">
        <is>
          <t>que le protocole soit respecté</t>
        </is>
      </c>
      <c r="F56" s="4" t="inlineStr">
        <is>
          <t>Une transition vers une étape non atteinte est refusée par le serveur ; le refus ne dépend pas de l'interface</t>
        </is>
      </c>
      <c r="G56" s="5" t="inlineStr">
        <is>
          <t>Fait</t>
        </is>
      </c>
      <c r="H56" s="6" t="inlineStr">
        <is>
          <t>—</t>
        </is>
      </c>
      <c r="I56" s="20" t="n">
        <v>5</v>
      </c>
      <c r="J56" s="3" t="inlineStr">
        <is>
          <t>—</t>
        </is>
      </c>
      <c r="K56" s="5" t="n"/>
      <c r="L56" s="7" t="n"/>
      <c r="M56" s="8" t="n">
        <v>1</v>
      </c>
      <c r="N56" s="9" t="n"/>
    </row>
    <row r="57" ht="53" customHeight="1">
      <c r="A57" s="2" t="inlineStr">
        <is>
          <t>US-48</t>
        </is>
      </c>
      <c r="B57" s="3" t="inlineStr">
        <is>
          <t>6 · Compte rendu</t>
        </is>
      </c>
      <c r="C57" s="3" t="inlineStr">
        <is>
          <t>Pathologiste</t>
        </is>
      </c>
      <c r="D57" s="4" t="inlineStr">
        <is>
          <t>voir où j'en suis dans le protocole</t>
        </is>
      </c>
      <c r="E57" s="4" t="inlineStr">
        <is>
          <t>savoir ce qu'il reste à faire</t>
        </is>
      </c>
      <c r="F57" s="4" t="inlineStr">
        <is>
          <t>L'étape courante est mise en avant ; les étapes validées et verrouillées se distinguent ; le nom du valideur apparaît sous l'étape faite</t>
        </is>
      </c>
      <c r="G57" s="5" t="inlineStr">
        <is>
          <t>Fait</t>
        </is>
      </c>
      <c r="H57" s="6" t="inlineStr">
        <is>
          <t>—</t>
        </is>
      </c>
      <c r="I57" s="20" t="n">
        <v>3</v>
      </c>
      <c r="J57" s="3" t="inlineStr">
        <is>
          <t>—</t>
        </is>
      </c>
      <c r="K57" s="5" t="n"/>
      <c r="L57" s="7" t="n"/>
      <c r="M57" s="8" t="n">
        <v>1</v>
      </c>
      <c r="N57" s="9" t="n"/>
    </row>
    <row r="58" ht="46" customHeight="1">
      <c r="A58" s="2" t="inlineStr">
        <is>
          <t>US-49</t>
        </is>
      </c>
      <c r="B58" s="3" t="inlineStr">
        <is>
          <t>6 · Compte rendu</t>
        </is>
      </c>
      <c r="C58" s="3" t="inlineStr">
        <is>
          <t>Établissement</t>
        </is>
      </c>
      <c r="D58" s="4" t="inlineStr">
        <is>
          <t>que chaque validation soit signée et horodatée</t>
        </is>
      </c>
      <c r="E58" s="4" t="inlineStr">
        <is>
          <t>tracer qui a validé quoi</t>
        </is>
      </c>
      <c r="F58" s="4" t="inlineStr">
        <is>
          <t>La date et l'auteur sont enregistrés à chaque validation d'étape ; ils sont relus à la réouverture</t>
        </is>
      </c>
      <c r="G58" s="5" t="inlineStr">
        <is>
          <t>Fait</t>
        </is>
      </c>
      <c r="H58" s="6" t="inlineStr">
        <is>
          <t>—</t>
        </is>
      </c>
      <c r="I58" s="20" t="n">
        <v>3</v>
      </c>
      <c r="J58" s="3" t="inlineStr">
        <is>
          <t>—</t>
        </is>
      </c>
      <c r="K58" s="5" t="n"/>
      <c r="L58" s="7" t="n"/>
      <c r="M58" s="8" t="n">
        <v>1</v>
      </c>
      <c r="N58" s="9" t="n"/>
    </row>
    <row r="59" ht="46" customHeight="1">
      <c r="A59" s="2" t="inlineStr">
        <is>
          <t>US-50</t>
        </is>
      </c>
      <c r="B59" s="3" t="inlineStr">
        <is>
          <t>6 · Compte rendu</t>
        </is>
      </c>
      <c r="C59" s="3" t="inlineStr">
        <is>
          <t>Pathologiste</t>
        </is>
      </c>
      <c r="D59" s="4" t="inlineStr">
        <is>
          <t>continuer à saisir quand le service de formulaires est injoignable</t>
        </is>
      </c>
      <c r="E59" s="4" t="inlineStr">
        <is>
          <t>ne pas interrompre mon travail</t>
        </is>
      </c>
      <c r="F59" s="4" t="inlineStr">
        <is>
          <t>Un instantané versionné prend le relais ; un bandeau signale le repli ; la saisie est conservée</t>
        </is>
      </c>
      <c r="G59" s="5" t="inlineStr">
        <is>
          <t>Fait</t>
        </is>
      </c>
      <c r="H59" s="6" t="inlineStr">
        <is>
          <t>—</t>
        </is>
      </c>
      <c r="I59" s="20" t="n">
        <v>5</v>
      </c>
      <c r="J59" s="3" t="inlineStr">
        <is>
          <t>—</t>
        </is>
      </c>
      <c r="K59" s="5" t="n"/>
      <c r="L59" s="7" t="n"/>
      <c r="M59" s="8" t="n">
        <v>1</v>
      </c>
      <c r="N59" s="9" t="n"/>
    </row>
    <row r="60" ht="53" customHeight="1">
      <c r="A60" s="2" t="inlineStr">
        <is>
          <t>US-51</t>
        </is>
      </c>
      <c r="B60" s="3" t="inlineStr">
        <is>
          <t>6 · Compte rendu</t>
        </is>
      </c>
      <c r="C60" s="3" t="inlineStr">
        <is>
          <t>Pathologiste</t>
        </is>
      </c>
      <c r="D60" s="4" t="inlineStr">
        <is>
          <t>reprendre un dossier là où je l'avais laissé</t>
        </is>
      </c>
      <c r="E60" s="4" t="inlineStr">
        <is>
          <t>ne pas ressaisir</t>
        </is>
      </c>
      <c r="F60" s="4" t="inlineStr">
        <is>
          <t>L'étape courante et les données déjà saisies sont restaurées ; un champ ajouté côté OLGA survit même sans colonne correspondante</t>
        </is>
      </c>
      <c r="G60" s="5" t="inlineStr">
        <is>
          <t>Fait</t>
        </is>
      </c>
      <c r="H60" s="6" t="inlineStr">
        <is>
          <t>—</t>
        </is>
      </c>
      <c r="I60" s="20" t="n">
        <v>5</v>
      </c>
      <c r="J60" s="3" t="inlineStr">
        <is>
          <t>—</t>
        </is>
      </c>
      <c r="K60" s="5" t="n"/>
      <c r="L60" s="7" t="n"/>
      <c r="M60" s="8" t="n">
        <v>1</v>
      </c>
      <c r="N60" s="9" t="n"/>
    </row>
    <row r="61" ht="68" customHeight="1">
      <c r="A61" s="2" t="inlineStr">
        <is>
          <t>US-52</t>
        </is>
      </c>
      <c r="B61" s="3" t="inlineStr">
        <is>
          <t>6 · Compte rendu</t>
        </is>
      </c>
      <c r="C61" s="3" t="inlineStr">
        <is>
          <t>Pathologiste</t>
        </is>
      </c>
      <c r="D61" s="4" t="inlineStr">
        <is>
          <t>enregistrer le compte rendu complet</t>
        </is>
      </c>
      <c r="E61" s="4" t="inlineStr">
        <is>
          <t>conclure l'analyse</t>
        </is>
      </c>
      <c r="F61" s="4" t="inlineStr">
        <is>
          <t>Type de prélèvement, bloc, fixation, colorations, observations macroscopiques et microscopiques, type histologique, grade, marges, récepteurs hormonaux et diagnostic sont enregistrés ; le pathologiste et la date de validation sont consignés</t>
        </is>
      </c>
      <c r="G61" s="5" t="inlineStr">
        <is>
          <t>Fait</t>
        </is>
      </c>
      <c r="H61" s="6" t="inlineStr">
        <is>
          <t>—</t>
        </is>
      </c>
      <c r="I61" s="20" t="n">
        <v>5</v>
      </c>
      <c r="J61" s="3" t="inlineStr">
        <is>
          <t>—</t>
        </is>
      </c>
      <c r="K61" s="5" t="n"/>
      <c r="L61" s="7" t="n"/>
      <c r="M61" s="8" t="n">
        <v>1</v>
      </c>
      <c r="N61" s="9" t="n"/>
    </row>
    <row r="62" ht="46" customHeight="1">
      <c r="A62" s="2" t="inlineStr">
        <is>
          <t>US-53</t>
        </is>
      </c>
      <c r="B62" s="3" t="inlineStr">
        <is>
          <t>6 · Compte rendu</t>
        </is>
      </c>
      <c r="C62" s="3" t="inlineStr">
        <is>
          <t>Pathologiste</t>
        </is>
      </c>
      <c r="D62" s="4" t="inlineStr">
        <is>
          <t>consulter les dossiers d'analyse d'un patient</t>
        </is>
      </c>
      <c r="E62" s="4" t="inlineStr">
        <is>
          <t>relire une extraction précédente</t>
        </is>
      </c>
      <c r="F62" s="4" t="inlineStr">
        <is>
          <t>La liste des extractions du patient est accessible ; le détail montre le formulaire et les tracés</t>
        </is>
      </c>
      <c r="G62" s="5" t="inlineStr">
        <is>
          <t>Fait</t>
        </is>
      </c>
      <c r="H62" s="6" t="inlineStr">
        <is>
          <t>—</t>
        </is>
      </c>
      <c r="I62" s="20" t="n">
        <v>3</v>
      </c>
      <c r="J62" s="3" t="inlineStr">
        <is>
          <t>—</t>
        </is>
      </c>
      <c r="K62" s="5" t="n"/>
      <c r="L62" s="7" t="n"/>
      <c r="M62" s="8" t="n">
        <v>1</v>
      </c>
      <c r="N62" s="9" t="n"/>
    </row>
    <row r="63" ht="46" customHeight="1">
      <c r="A63" s="2" t="inlineStr">
        <is>
          <t>US-54</t>
        </is>
      </c>
      <c r="B63" s="3" t="inlineStr">
        <is>
          <t>6 · Compte rendu</t>
        </is>
      </c>
      <c r="C63" s="3" t="inlineStr">
        <is>
          <t>Pathologiste</t>
        </is>
      </c>
      <c r="D63" s="4" t="inlineStr">
        <is>
          <t>supprimer un dossier d'analyse</t>
        </is>
      </c>
      <c r="E63" s="4" t="inlineStr">
        <is>
          <t>retirer une extraction créée par erreur</t>
        </is>
      </c>
      <c r="F63" s="4" t="inlineStr">
        <is>
          <t>L'extraction, ses tracés et son avancement de workflow sont retirés ; la lame d'origine n'est pas touchée</t>
        </is>
      </c>
      <c r="G63" s="5" t="inlineStr">
        <is>
          <t>Fait</t>
        </is>
      </c>
      <c r="H63" s="6" t="inlineStr">
        <is>
          <t>—</t>
        </is>
      </c>
      <c r="I63" s="20" t="n">
        <v>2</v>
      </c>
      <c r="J63" s="3" t="inlineStr">
        <is>
          <t>—</t>
        </is>
      </c>
      <c r="K63" s="5" t="n"/>
      <c r="L63" s="7" t="n"/>
      <c r="M63" s="8" t="n">
        <v>1</v>
      </c>
      <c r="N63" s="9" t="n"/>
    </row>
    <row r="64" ht="53" customHeight="1">
      <c r="A64" s="10" t="inlineStr">
        <is>
          <t>US-55</t>
        </is>
      </c>
      <c r="B64" s="3" t="inlineStr">
        <is>
          <t>7 · Collaboration</t>
        </is>
      </c>
      <c r="C64" s="3" t="inlineStr">
        <is>
          <t>Pathologiste qui relit le travail d'un confrère</t>
        </is>
      </c>
      <c r="D64" s="4" t="inlineStr">
        <is>
          <t>laisser un commentaire sur le dossier</t>
        </is>
      </c>
      <c r="E64" s="4" t="inlineStr">
        <is>
          <t>donner un avis sans toucher au compte rendu officiel</t>
        </is>
      </c>
      <c r="F64" s="4" t="inlineStr">
        <is>
          <t>Commentaire affiché avec auteur et heure, compte rendu inchangé ; je supprime mes commentaires, pas ceux des autres</t>
        </is>
      </c>
      <c r="G64" s="5" t="inlineStr">
        <is>
          <t>À faire</t>
        </is>
      </c>
      <c r="H64" s="6" t="inlineStr">
        <is>
          <t>Should</t>
        </is>
      </c>
      <c r="I64" s="20" t="n">
        <v>5</v>
      </c>
      <c r="J64" s="3" t="inlineStr">
        <is>
          <t>US-04a</t>
        </is>
      </c>
      <c r="K64" s="5" t="n"/>
      <c r="L64" s="7" t="n"/>
      <c r="M64" s="8" t="n">
        <v>0</v>
      </c>
      <c r="N64" s="9" t="n"/>
    </row>
    <row r="65" ht="53" customHeight="1">
      <c r="A65" s="10" t="inlineStr">
        <is>
          <t>US-56</t>
        </is>
      </c>
      <c r="B65" s="3" t="inlineStr">
        <is>
          <t>7 · Collaboration</t>
        </is>
      </c>
      <c r="C65" s="3" t="inlineStr">
        <is>
          <t>Pathologiste face à un cas difficile</t>
        </is>
      </c>
      <c r="D65" s="4" t="inlineStr">
        <is>
          <t>demander un second avis à un confrère</t>
        </is>
      </c>
      <c r="E65" s="4" t="inlineStr">
        <is>
          <t>sécuriser mon diagnostic</t>
        </is>
      </c>
      <c r="F65" s="4" t="inlineStr">
        <is>
          <t>Le dossier passe « en attente d'avis », le relecteur apparaît dans la file ; un relecteur sans compte ne peut pas être assigné</t>
        </is>
      </c>
      <c r="G65" s="5" t="inlineStr">
        <is>
          <t>À faire</t>
        </is>
      </c>
      <c r="H65" s="6" t="inlineStr">
        <is>
          <t>Should</t>
        </is>
      </c>
      <c r="I65" s="20" t="n">
        <v>5</v>
      </c>
      <c r="J65" s="3" t="inlineStr">
        <is>
          <t>US-04a, US-13</t>
        </is>
      </c>
      <c r="K65" s="5" t="n"/>
      <c r="L65" s="7" t="n"/>
      <c r="M65" s="8" t="n">
        <v>0</v>
      </c>
      <c r="N65" s="9" t="n"/>
    </row>
    <row r="66" ht="46" customHeight="1">
      <c r="A66" s="10" t="inlineStr">
        <is>
          <t>US-57</t>
        </is>
      </c>
      <c r="B66" s="3" t="inlineStr">
        <is>
          <t>7 · Collaboration</t>
        </is>
      </c>
      <c r="C66" s="3" t="inlineStr">
        <is>
          <t>Relecteur sollicité par plusieurs confrères</t>
        </is>
      </c>
      <c r="D66" s="4" t="inlineStr">
        <is>
          <t>une vue de mes dossiers à revoir</t>
        </is>
      </c>
      <c r="E66" s="4" t="inlineStr">
        <is>
          <t>ne pas les chercher dans la liste générale</t>
        </is>
      </c>
      <c r="F66" s="4" t="inlineStr">
        <is>
          <t>La vue liste mes dossiers à revoir ; un dossier en sort quand j'ai rendu mon avis</t>
        </is>
      </c>
      <c r="G66" s="5" t="inlineStr">
        <is>
          <t>À faire</t>
        </is>
      </c>
      <c r="H66" s="6" t="inlineStr">
        <is>
          <t>Should</t>
        </is>
      </c>
      <c r="I66" s="20" t="n">
        <v>3</v>
      </c>
      <c r="J66" s="3" t="inlineStr">
        <is>
          <t>US-56</t>
        </is>
      </c>
      <c r="K66" s="5" t="n"/>
      <c r="L66" s="7" t="n"/>
      <c r="M66" s="8" t="n">
        <v>0</v>
      </c>
      <c r="N66" s="9" t="n"/>
    </row>
    <row r="67" ht="53" customHeight="1">
      <c r="A67" s="10" t="inlineStr">
        <is>
          <t>US-58</t>
        </is>
      </c>
      <c r="B67" s="3" t="inlineStr">
        <is>
          <t>7 · Collaboration</t>
        </is>
      </c>
      <c r="C67" s="3" t="inlineStr">
        <is>
          <t>Relecteur qui travaille sur ses propres dossiers</t>
        </is>
      </c>
      <c r="D67" s="4" t="inlineStr">
        <is>
          <t>être prévenu quand on me confie un dossier</t>
        </is>
      </c>
      <c r="E67" s="4" t="inlineStr">
        <is>
          <t>ne pas le découvrir par hasard</t>
        </is>
      </c>
      <c r="F67" s="4" t="inlineStr">
        <is>
          <t>Notification sans rechargement, nommant dossier et demandeur ; ouverte : marquée lue, le compteur diminue</t>
        </is>
      </c>
      <c r="G67" s="5" t="inlineStr">
        <is>
          <t>À faire</t>
        </is>
      </c>
      <c r="H67" s="6" t="inlineStr">
        <is>
          <t>Could</t>
        </is>
      </c>
      <c r="I67" s="20" t="n">
        <v>5</v>
      </c>
      <c r="J67" s="3" t="inlineStr">
        <is>
          <t>US-56</t>
        </is>
      </c>
      <c r="K67" s="5" t="n"/>
      <c r="L67" s="7" t="n"/>
      <c r="M67" s="8" t="n">
        <v>0</v>
      </c>
      <c r="N67" s="9" t="n"/>
    </row>
    <row r="68" ht="53" customHeight="1">
      <c r="A68" s="10" t="inlineStr">
        <is>
          <t>US-59a</t>
        </is>
      </c>
      <c r="B68" s="3" t="inlineStr">
        <is>
          <t>7 · Collaboration</t>
        </is>
      </c>
      <c r="C68" s="3" t="inlineStr">
        <is>
          <t>Pathologiste qui annote la même extraction qu'un confrère</t>
        </is>
      </c>
      <c r="D68" s="4" t="inlineStr">
        <is>
          <t>que l'enregistrement n'efface que ce que j'ai modifié</t>
        </is>
      </c>
      <c r="E68" s="4" t="inlineStr">
        <is>
          <t>que son travail ne disparaisse pas</t>
        </is>
      </c>
      <c r="F68" s="4" t="inlineStr">
        <is>
          <t>Deux enregistrements successifs : les annotations des deux sont conservées ; supprimer la mienne ne retire qu'elle. Corrige une perte de données actuelle</t>
        </is>
      </c>
      <c r="G68" s="5" t="inlineStr">
        <is>
          <t>À faire</t>
        </is>
      </c>
      <c r="H68" s="6" t="inlineStr">
        <is>
          <t>Could</t>
        </is>
      </c>
      <c r="I68" s="20" t="n">
        <v>5</v>
      </c>
      <c r="J68" s="3" t="inlineStr">
        <is>
          <t>—</t>
        </is>
      </c>
      <c r="K68" s="5" t="n"/>
      <c r="L68" s="7" t="n"/>
      <c r="M68" s="8" t="n">
        <v>0</v>
      </c>
      <c r="N68" s="9" t="n"/>
    </row>
    <row r="69" ht="68" customHeight="1">
      <c r="A69" s="10" t="inlineStr">
        <is>
          <t>US-59b</t>
        </is>
      </c>
      <c r="B69" s="3" t="inlineStr">
        <is>
          <t>7 · Collaboration</t>
        </is>
      </c>
      <c r="C69" s="3" t="inlineStr">
        <is>
          <t>Pathologiste qui modifie un compte rendu déjà ouvert par un confrère</t>
        </is>
      </c>
      <c r="D69" s="4" t="inlineStr">
        <is>
          <t>être averti si nos modifications se croisent</t>
        </is>
      </c>
      <c r="E69" s="4" t="inlineStr">
        <is>
          <t>ne jamais écraser son texte sans le savoir</t>
        </is>
      </c>
      <c r="F69" s="4" t="inlineStr">
        <is>
          <t>Enregistrement concurrent refusé avec un message de conflit, ma saisie reste à l'écran, la version du confrère est consultable</t>
        </is>
      </c>
      <c r="G69" s="5" t="inlineStr">
        <is>
          <t>À faire</t>
        </is>
      </c>
      <c r="H69" s="6" t="inlineStr">
        <is>
          <t>Could</t>
        </is>
      </c>
      <c r="I69" s="20" t="n">
        <v>3</v>
      </c>
      <c r="J69" s="3" t="inlineStr">
        <is>
          <t>—</t>
        </is>
      </c>
      <c r="K69" s="5" t="n"/>
      <c r="L69" s="7" t="n"/>
      <c r="M69" s="8" t="n">
        <v>0</v>
      </c>
      <c r="N69" s="9" t="n"/>
    </row>
    <row r="70" ht="53" customHeight="1">
      <c r="A70" s="10" t="inlineStr">
        <is>
          <t>US-59c</t>
        </is>
      </c>
      <c r="B70" s="3" t="inlineStr">
        <is>
          <t>7 · Collaboration</t>
        </is>
      </c>
      <c r="C70" s="3" t="inlineStr">
        <is>
          <t>Pathologiste qui travaille à deux sur une lame en réunion</t>
        </is>
      </c>
      <c r="D70" s="4" t="inlineStr">
        <is>
          <t>voir apparaître les annotations de mon confrère sans recharger</t>
        </is>
      </c>
      <c r="E70" s="4" t="inlineStr">
        <is>
          <t>suivre ce qu'il désigne</t>
        </is>
      </c>
      <c r="F70" s="4" t="inlineStr">
        <is>
          <t>Une annotation enregistrée apparaît chez l'autre en moins de deux secondes ; connexion perdue : indicateur, rattrapage à la reconnexion</t>
        </is>
      </c>
      <c r="G70" s="5" t="inlineStr">
        <is>
          <t>À faire</t>
        </is>
      </c>
      <c r="H70" s="6" t="inlineStr">
        <is>
          <t>Could</t>
        </is>
      </c>
      <c r="I70" s="20" t="n">
        <v>8</v>
      </c>
      <c r="J70" s="3" t="inlineStr">
        <is>
          <t>US-59a, US-04b</t>
        </is>
      </c>
      <c r="K70" s="5" t="n"/>
      <c r="L70" s="7" t="n"/>
      <c r="M70" s="8" t="n">
        <v>0</v>
      </c>
      <c r="N70" s="9" t="n"/>
    </row>
    <row r="71" ht="46" customHeight="1">
      <c r="A71" s="10" t="inlineStr">
        <is>
          <t>US-60</t>
        </is>
      </c>
      <c r="B71" s="3" t="inlineStr">
        <is>
          <t>7 · Collaboration</t>
        </is>
      </c>
      <c r="C71" s="3" t="inlineStr">
        <is>
          <t>Pathologiste qui ouvre un dossier partagé</t>
        </is>
      </c>
      <c r="D71" s="4" t="inlineStr">
        <is>
          <t>savoir qui d'autre l'a ouvert</t>
        </is>
      </c>
      <c r="E71" s="4" t="inlineStr">
        <is>
          <t>éviter de faire le même travail en double</t>
        </is>
      </c>
      <c r="F71" s="4" t="inlineStr">
        <is>
          <t>Le nom d'un confrère apparaît à son arrivée et disparaît moins de trente secondes après son départ</t>
        </is>
      </c>
      <c r="G71" s="5" t="inlineStr">
        <is>
          <t>À faire</t>
        </is>
      </c>
      <c r="H71" s="6" t="inlineStr">
        <is>
          <t>Could</t>
        </is>
      </c>
      <c r="I71" s="20" t="n">
        <v>5</v>
      </c>
      <c r="J71" s="3" t="inlineStr">
        <is>
          <t>US-59c</t>
        </is>
      </c>
      <c r="K71" s="5" t="n"/>
      <c r="L71" s="7" t="n"/>
      <c r="M71" s="8" t="n">
        <v>0</v>
      </c>
      <c r="N71" s="9" t="n"/>
    </row>
    <row r="72" ht="53" customHeight="1">
      <c r="A72" s="10" t="inlineStr">
        <is>
          <t>US-61</t>
        </is>
      </c>
      <c r="B72" s="3" t="inlineStr">
        <is>
          <t>8 · Robustesse</t>
        </is>
      </c>
      <c r="C72" s="3" t="inlineStr">
        <is>
          <t>Praticien qui ouvre l'application sur une installation neuve</t>
        </is>
      </c>
      <c r="D72" s="4" t="inlineStr">
        <is>
          <t>comprendre pourquoi la liste est vide</t>
        </is>
      </c>
      <c r="E72" s="4" t="inlineStr">
        <is>
          <t>savoir quoi faire ensuite</t>
        </is>
      </c>
      <c r="F72" s="4" t="inlineStr">
        <is>
          <t>Aucun dossier : explication et bouton « Créer un dossier » ; filtres trop restrictifs : message qui le dit et action pour les réinitialiser</t>
        </is>
      </c>
      <c r="G72" s="5" t="inlineStr">
        <is>
          <t>À faire</t>
        </is>
      </c>
      <c r="H72" s="6" t="inlineStr">
        <is>
          <t>Must</t>
        </is>
      </c>
      <c r="I72" s="20" t="n">
        <v>2</v>
      </c>
      <c r="J72" s="3" t="inlineStr">
        <is>
          <t>—</t>
        </is>
      </c>
      <c r="K72" s="5" t="n"/>
      <c r="L72" s="7" t="n"/>
      <c r="M72" s="8" t="n">
        <v>0</v>
      </c>
      <c r="N72" s="9" t="n"/>
    </row>
    <row r="73" ht="46" customHeight="1">
      <c r="A73" s="10" t="inlineStr">
        <is>
          <t>US-62</t>
        </is>
      </c>
      <c r="B73" s="3" t="inlineStr">
        <is>
          <t>8 · Robustesse</t>
        </is>
      </c>
      <c r="C73" s="3" t="inlineStr">
        <is>
          <t>Praticien qui clique vite</t>
        </is>
      </c>
      <c r="D73" s="4" t="inlineStr">
        <is>
          <t>que le chargement n'agite pas la page</t>
        </is>
      </c>
      <c r="E73" s="4" t="inlineStr">
        <is>
          <t>ne pas cliquer à côté</t>
        </is>
      </c>
      <c r="F73" s="4" t="inlineStr">
        <is>
          <t>Des squelettes occupent la place des cartes ; à l'arrivée des données, aucun élément déjà affiché ne bouge</t>
        </is>
      </c>
      <c r="G73" s="5" t="inlineStr">
        <is>
          <t>À faire</t>
        </is>
      </c>
      <c r="H73" s="6" t="inlineStr">
        <is>
          <t>Must</t>
        </is>
      </c>
      <c r="I73" s="20" t="n">
        <v>2</v>
      </c>
      <c r="J73" s="3" t="inlineStr">
        <is>
          <t>—</t>
        </is>
      </c>
      <c r="K73" s="5" t="n"/>
      <c r="L73" s="7" t="n"/>
      <c r="M73" s="8" t="n">
        <v>0</v>
      </c>
      <c r="N73" s="9" t="n"/>
    </row>
    <row r="74" ht="53" customHeight="1">
      <c r="A74" s="10" t="inlineStr">
        <is>
          <t>US-63</t>
        </is>
      </c>
      <c r="B74" s="3" t="inlineStr">
        <is>
          <t>8 · Robustesse</t>
        </is>
      </c>
      <c r="C74" s="3" t="inlineStr">
        <is>
          <t>Praticien dont la connexion au serveur tombe</t>
        </is>
      </c>
      <c r="D74" s="4" t="inlineStr">
        <is>
          <t>comprendre l'erreur</t>
        </is>
      </c>
      <c r="E74" s="4" t="inlineStr">
        <is>
          <t>savoir si le problème vient de moi</t>
        </is>
      </c>
      <c r="F74" s="4" t="inlineStr">
        <is>
          <t>Message clair, données non perdues, bouton « Réessayer », pas d'erreur brute du serveur ; après rétablissement, « Réessayer » affiche la liste</t>
        </is>
      </c>
      <c r="G74" s="5" t="inlineStr">
        <is>
          <t>À faire</t>
        </is>
      </c>
      <c r="H74" s="6" t="inlineStr">
        <is>
          <t>Must</t>
        </is>
      </c>
      <c r="I74" s="20" t="n">
        <v>3</v>
      </c>
      <c r="J74" s="3" t="inlineStr">
        <is>
          <t>—</t>
        </is>
      </c>
      <c r="K74" s="5" t="n"/>
      <c r="L74" s="7" t="n"/>
      <c r="M74" s="8" t="n">
        <v>0</v>
      </c>
      <c r="N74" s="9" t="n"/>
    </row>
    <row r="75" ht="53" customHeight="1">
      <c r="A75" s="10" t="inlineStr">
        <is>
          <t>US-64</t>
        </is>
      </c>
      <c r="B75" s="3" t="inlineStr">
        <is>
          <t>8 · Robustesse</t>
        </is>
      </c>
      <c r="C75" s="3" t="inlineStr">
        <is>
          <t>Pathologiste qui saisit pendant une panne d'OLGA</t>
        </is>
      </c>
      <c r="D75" s="4" t="inlineStr">
        <is>
          <t>savoir de quand date le formulaire de repli</t>
        </is>
      </c>
      <c r="E75" s="4" t="inlineStr">
        <is>
          <t>juger s'il est encore valable</t>
        </is>
      </c>
      <c r="F75" s="4" t="inlineStr">
        <is>
          <t>Le bandeau de repli affiche la date de l'instantané et propose de retenter la connexion</t>
        </is>
      </c>
      <c r="G75" s="5" t="inlineStr">
        <is>
          <t>À faire</t>
        </is>
      </c>
      <c r="H75" s="6" t="inlineStr">
        <is>
          <t>Must</t>
        </is>
      </c>
      <c r="I75" s="20" t="n">
        <v>1</v>
      </c>
      <c r="J75" s="3" t="inlineStr">
        <is>
          <t>—</t>
        </is>
      </c>
      <c r="K75" s="5" t="n"/>
      <c r="L75" s="7" t="n"/>
      <c r="M75" s="8" t="n">
        <v>0</v>
      </c>
      <c r="N75" s="9" t="n"/>
    </row>
    <row r="76" ht="53" customHeight="1">
      <c r="A76" s="10" t="inlineStr">
        <is>
          <t>US-65a</t>
        </is>
      </c>
      <c r="B76" s="3" t="inlineStr">
        <is>
          <t>9 · Mobilité</t>
        </is>
      </c>
      <c r="C76" s="3" t="inlineStr">
        <is>
          <t>Pathologiste qui présente un cas en réunion sur tablette</t>
        </is>
      </c>
      <c r="D76" s="4" t="inlineStr">
        <is>
          <t>tracer une annotation au stylet</t>
        </is>
      </c>
      <c r="E76" s="4" t="inlineStr">
        <is>
          <t>désigner une zone sans souris</t>
        </is>
      </c>
      <c r="F76" s="4" t="inlineStr">
        <is>
          <t>Rectangle, cercle, polygone tracés au stylet aux mêmes coordonnées qu'à la souris ; la souris fonctionne comme avant (passage aux Pointer Events)</t>
        </is>
      </c>
      <c r="G76" s="5" t="inlineStr">
        <is>
          <t>À faire</t>
        </is>
      </c>
      <c r="H76" s="6" t="inlineStr">
        <is>
          <t>Could</t>
        </is>
      </c>
      <c r="I76" s="20" t="n">
        <v>5</v>
      </c>
      <c r="J76" s="3" t="inlineStr">
        <is>
          <t>—</t>
        </is>
      </c>
      <c r="K76" s="5" t="n"/>
      <c r="L76" s="7" t="n"/>
      <c r="M76" s="8" t="n">
        <v>0</v>
      </c>
      <c r="N76" s="9" t="n"/>
    </row>
    <row r="77" ht="46" customHeight="1">
      <c r="A77" s="10" t="inlineStr">
        <is>
          <t>US-65b</t>
        </is>
      </c>
      <c r="B77" s="3" t="inlineStr">
        <is>
          <t>9 · Mobilité</t>
        </is>
      </c>
      <c r="C77" s="3" t="inlineStr">
        <is>
          <t>Pathologiste sur tablette</t>
        </is>
      </c>
      <c r="D77" s="4" t="inlineStr">
        <is>
          <t>choisir explicitement entre déplacer la lame et dessiner</t>
        </is>
      </c>
      <c r="E77" s="4" t="inlineStr">
        <is>
          <t>qu'un geste pour naviguer ne crée pas une annotation par erreur</t>
        </is>
      </c>
      <c r="F77" s="4" t="inlineStr">
        <is>
          <t>Mode navigation : un doigt déplace sans annoter ; pincer zoome dans tous les modes ; le mode actif est toujours affiché</t>
        </is>
      </c>
      <c r="G77" s="5" t="inlineStr">
        <is>
          <t>À faire</t>
        </is>
      </c>
      <c r="H77" s="6" t="inlineStr">
        <is>
          <t>Could</t>
        </is>
      </c>
      <c r="I77" s="20" t="n">
        <v>5</v>
      </c>
      <c r="J77" s="3" t="inlineStr">
        <is>
          <t>US-65a</t>
        </is>
      </c>
      <c r="K77" s="5" t="n"/>
      <c r="L77" s="7" t="n"/>
      <c r="M77" s="8" t="n">
        <v>0</v>
      </c>
      <c r="N77" s="9" t="n"/>
    </row>
    <row r="78" ht="53" customHeight="1">
      <c r="A78" s="10" t="inlineStr">
        <is>
          <t>US-65c</t>
        </is>
      </c>
      <c r="B78" s="3" t="inlineStr">
        <is>
          <t>9 · Mobilité</t>
        </is>
      </c>
      <c r="C78" s="3" t="inlineStr">
        <is>
          <t>Pathologiste qui ouvre un dossier sur une tablette en paysage</t>
        </is>
      </c>
      <c r="D78" s="4" t="inlineStr">
        <is>
          <t>que chaque commande soit à portée de doigt</t>
        </is>
      </c>
      <c r="E78" s="4" t="inlineStr">
        <is>
          <t>mener une analyse de bout en bout sans ordinateur</t>
        </is>
      </c>
      <c r="F78" s="4" t="inlineStr">
        <is>
          <t>Sur 1024 points : ouvrir, lire, annoter, enregistrer sans commande hors écran ; cibles d'au moins 44 points ; sous 1280 points, les panneaux se replient</t>
        </is>
      </c>
      <c r="G78" s="5" t="inlineStr">
        <is>
          <t>À faire</t>
        </is>
      </c>
      <c r="H78" s="6" t="inlineStr">
        <is>
          <t>Could</t>
        </is>
      </c>
      <c r="I78" s="20" t="n">
        <v>8</v>
      </c>
      <c r="J78" s="3" t="inlineStr">
        <is>
          <t>—</t>
        </is>
      </c>
      <c r="K78" s="5" t="n"/>
      <c r="L78" s="7" t="n"/>
      <c r="M78" s="8" t="n">
        <v>0</v>
      </c>
      <c r="N78" s="9" t="n"/>
    </row>
    <row r="79" ht="53" customHeight="1">
      <c r="A79" s="10" t="inlineStr">
        <is>
          <t>US-66</t>
        </is>
      </c>
      <c r="B79" s="3" t="inlineStr">
        <is>
          <t>9 · Mobilité</t>
        </is>
      </c>
      <c r="C79" s="3" t="inlineStr">
        <is>
          <t>Praticien de garde</t>
        </is>
      </c>
      <c r="D79" s="4" t="inlineStr">
        <is>
          <t>consulter un dossier sur mon téléphone</t>
        </is>
      </c>
      <c r="E79" s="4" t="inlineStr">
        <is>
          <t>vérifier une information en déplacement</t>
        </is>
      </c>
      <c r="F79" s="4" t="inlineStr">
        <is>
          <t>Sur 375 points : tableau de bord et fiche sans défilement horizontal, libellés visibles à la place des infobulles ; pas d'outils d'annotation</t>
        </is>
      </c>
      <c r="G79" s="5" t="inlineStr">
        <is>
          <t>À faire</t>
        </is>
      </c>
      <c r="H79" s="6" t="inlineStr">
        <is>
          <t>Could</t>
        </is>
      </c>
      <c r="I79" s="20" t="n">
        <v>5</v>
      </c>
      <c r="J79" s="3" t="inlineStr">
        <is>
          <t>—</t>
        </is>
      </c>
      <c r="K79" s="5" t="n"/>
      <c r="L79" s="7" t="n"/>
      <c r="M79" s="8" t="n">
        <v>0</v>
      </c>
      <c r="N79" s="9" t="n"/>
    </row>
    <row r="80" ht="46" customHeight="1">
      <c r="A80" s="2" t="inlineStr">
        <is>
          <t>US-67</t>
        </is>
      </c>
      <c r="B80" s="3" t="inlineStr">
        <is>
          <t>10 · Exploitation</t>
        </is>
      </c>
      <c r="C80" s="3" t="inlineStr">
        <is>
          <t>Exploitant</t>
        </is>
      </c>
      <c r="D80" s="4" t="inlineStr">
        <is>
          <t>vérifier que la plateforme répond</t>
        </is>
      </c>
      <c r="E80" s="4" t="inlineStr">
        <is>
          <t>diagnostiquer une panne</t>
        </is>
      </c>
      <c r="F80" s="4" t="inlineStr">
        <is>
          <t>Une adresse de santé répond sans authentification ; elle indique l'état des dépendances</t>
        </is>
      </c>
      <c r="G80" s="5" t="inlineStr">
        <is>
          <t>Fait</t>
        </is>
      </c>
      <c r="H80" s="6" t="inlineStr">
        <is>
          <t>—</t>
        </is>
      </c>
      <c r="I80" s="20" t="n">
        <v>1</v>
      </c>
      <c r="J80" s="3" t="inlineStr">
        <is>
          <t>—</t>
        </is>
      </c>
      <c r="K80" s="5" t="n"/>
      <c r="L80" s="7" t="n"/>
      <c r="M80" s="8" t="n">
        <v>1</v>
      </c>
      <c r="N80" s="9" t="n"/>
    </row>
    <row r="81" ht="53" customHeight="1">
      <c r="A81" s="2" t="inlineStr">
        <is>
          <t>US-68</t>
        </is>
      </c>
      <c r="B81" s="3" t="inlineStr">
        <is>
          <t>10 · Exploitation</t>
        </is>
      </c>
      <c r="C81" s="3" t="inlineStr">
        <is>
          <t>Développeur</t>
        </is>
      </c>
      <c r="D81" s="4" t="inlineStr">
        <is>
          <t>disposer de données de démonstration au démarrage</t>
        </is>
      </c>
      <c r="E81" s="4" t="inlineStr">
        <is>
          <t>ne pas tomber sur un tableau de bord vide</t>
        </is>
      </c>
      <c r="F81" s="4" t="inlineStr">
        <is>
          <t>Les images d'exemple sont injectées au premier démarrage ; rejouer le démarrage ne crée pas de doublon ; les tuiles manquantes sont régénérées à chaque démarrage</t>
        </is>
      </c>
      <c r="G81" s="5" t="inlineStr">
        <is>
          <t>Fait</t>
        </is>
      </c>
      <c r="H81" s="6" t="inlineStr">
        <is>
          <t>—</t>
        </is>
      </c>
      <c r="I81" s="20" t="n">
        <v>8</v>
      </c>
      <c r="J81" s="3" t="inlineStr">
        <is>
          <t>—</t>
        </is>
      </c>
      <c r="K81" s="5" t="n"/>
      <c r="L81" s="7" t="n"/>
      <c r="M81" s="8" t="n">
        <v>1</v>
      </c>
      <c r="N81" s="9" t="n"/>
    </row>
    <row r="82" ht="68" customHeight="1">
      <c r="A82" s="10" t="inlineStr">
        <is>
          <t>US-69</t>
        </is>
      </c>
      <c r="B82" s="3" t="inlineStr">
        <is>
          <t>10 · Exploitation</t>
        </is>
      </c>
      <c r="C82" s="3" t="inlineStr">
        <is>
          <t>Développeur qui maintient la plateforme</t>
        </is>
      </c>
      <c r="D82" s="4" t="inlineStr">
        <is>
          <t>que le backend accède au stockage par boto3 plutôt que par le client MinIO</t>
        </is>
      </c>
      <c r="E82" s="4" t="inlineStr">
        <is>
          <t>pouvoir changer de fournisseur S3 par simple configuration</t>
        </is>
      </c>
      <c r="F82" s="4" t="inlineStr">
        <is>
          <t>Adresse, bucket et clés en variables d'environnement ; plus aucun module ne dépend du paquet minio (minio==7.2.20 aujourd'hui) ; stockage injoignable : message explicite à l'import, signalé par l'adresse de santé</t>
        </is>
      </c>
      <c r="G82" s="5" t="inlineStr">
        <is>
          <t>À faire</t>
        </is>
      </c>
      <c r="H82" s="6" t="inlineStr">
        <is>
          <t>Must</t>
        </is>
      </c>
      <c r="I82" s="20" t="n">
        <v>3</v>
      </c>
      <c r="J82" s="3" t="inlineStr">
        <is>
          <t>—</t>
        </is>
      </c>
      <c r="K82" s="5" t="n"/>
      <c r="L82" s="7" t="n"/>
      <c r="M82" s="8" t="n">
        <v>0</v>
      </c>
      <c r="N82" s="9" t="n"/>
    </row>
    <row r="83" ht="68" customHeight="1">
      <c r="A83" s="10" t="inlineStr">
        <is>
          <t>US-70</t>
        </is>
      </c>
      <c r="B83" s="3" t="inlineStr">
        <is>
          <t>10 · Exploitation</t>
        </is>
      </c>
      <c r="C83" s="3" t="inlineStr">
        <is>
          <t>Exploitant qui lance la pile en local</t>
        </is>
      </c>
      <c r="D83" s="4" t="inlineStr">
        <is>
          <t>que les lames soient stockées sur un service S3 maintenu à la place de MinIO</t>
        </is>
      </c>
      <c r="E83" s="4" t="inlineStr">
        <is>
          <t>ne plus dépendre d'un logiciel abandonné</t>
        </is>
      </c>
      <c r="F83" s="4" t="inlineStr">
        <is>
          <t>Machine vierge : bucket créé, démo injectée, lame d'exemple ouverte ; fichiers de l'ancien volume MinIO copiés, mêmes nombres et tailles, lames existantes lisibles ; plus de service MinIO dans docker-compose</t>
        </is>
      </c>
      <c r="G83" s="5" t="inlineStr">
        <is>
          <t>À faire</t>
        </is>
      </c>
      <c r="H83" s="6" t="inlineStr">
        <is>
          <t>Must</t>
        </is>
      </c>
      <c r="I83" s="20" t="n">
        <v>5</v>
      </c>
      <c r="J83" s="3" t="inlineStr">
        <is>
          <t>US-69</t>
        </is>
      </c>
      <c r="K83" s="5" t="n"/>
      <c r="L83" s="7" t="n"/>
      <c r="M83" s="8" t="n">
        <v>0</v>
      </c>
      <c r="N83" s="9" t="n"/>
    </row>
    <row r="84" ht="83" customHeight="1">
      <c r="A84" s="10" t="inlineStr">
        <is>
          <t>US-71</t>
        </is>
      </c>
      <c r="B84" s="3" t="inlineStr">
        <is>
          <t>10 · Exploitation</t>
        </is>
      </c>
      <c r="C84" s="3" t="inlineStr">
        <is>
          <t>Exploitant de la plateforme</t>
        </is>
      </c>
      <c r="D84" s="4" t="inlineStr">
        <is>
          <t>que la base PostgreSQL tourne sur Supabase</t>
        </is>
      </c>
      <c r="E84" s="4" t="inlineStr">
        <is>
          <t>que toute l'équipe travaille sur la même base et que les comptes puissent y être gérés</t>
        </is>
      </c>
      <c r="F84" s="4" t="inlineStr">
        <is>
          <t>Migrations Alembic : schéma identique ; données reprises, mêmes nombres de lignes, un dossier existant s'ouvre ; base injoignable signalée par l'adresse de santé, chaîne de connexion jamais exposée. Limite gratuite 500 Mo, pause après une semaine d'inactivité</t>
        </is>
      </c>
      <c r="G84" s="5" t="inlineStr">
        <is>
          <t>À faire</t>
        </is>
      </c>
      <c r="H84" s="6" t="inlineStr">
        <is>
          <t>Must</t>
        </is>
      </c>
      <c r="I84" s="20" t="n">
        <v>5</v>
      </c>
      <c r="J84" s="3" t="inlineStr">
        <is>
          <t>—</t>
        </is>
      </c>
      <c r="K84" s="5" t="n"/>
      <c r="L84" s="7" t="n"/>
      <c r="M84" s="8" t="n">
        <v>0</v>
      </c>
      <c r="N84" s="9" t="n"/>
    </row>
    <row r="85" ht="68" customHeight="1">
      <c r="A85" s="10" t="inlineStr">
        <is>
          <t>US-72</t>
        </is>
      </c>
      <c r="B85" s="3" t="inlineStr">
        <is>
          <t>4 · Radiologie DICOM</t>
        </is>
      </c>
      <c r="C85" s="3" t="inlineStr">
        <is>
          <t>Radiologue</t>
        </is>
      </c>
      <c r="D85" s="4" t="inlineStr">
        <is>
          <t>que la visionneuse interroge la base DICOM par le protocole DICOMweb</t>
        </is>
      </c>
      <c r="E85" s="4" t="inlineStr">
        <is>
          <t>que la plateforme parle le standard des systèmes d'imagerie hospitaliers</t>
        </is>
      </c>
      <c r="F85" s="4" t="inlineStr">
        <is>
          <t>Recherche des études d'un patient en QIDO-RS ; images chargées en WADO-RS (aujourd'hui WADO-URI) ; aucun fichier DICOM copié dans le stockage S3. Orthanc est déjà la base DICOM (image orthanc-plugins 1.12.0)</t>
        </is>
      </c>
      <c r="G85" s="5" t="inlineStr">
        <is>
          <t>À faire</t>
        </is>
      </c>
      <c r="H85" s="6" t="inlineStr">
        <is>
          <t>Must</t>
        </is>
      </c>
      <c r="I85" s="20" t="n">
        <v>3</v>
      </c>
      <c r="J85" s="3" t="inlineStr">
        <is>
          <t>—</t>
        </is>
      </c>
      <c r="K85" s="5" t="n"/>
      <c r="L85" s="7" t="n"/>
      <c r="M85" s="8" t="n">
        <v>0</v>
      </c>
      <c r="N85" s="9" t="n"/>
    </row>
    <row r="86" ht="83" customHeight="1">
      <c r="A86" s="10" t="inlineStr">
        <is>
          <t>US-73</t>
        </is>
      </c>
      <c r="B86" s="3" t="inlineStr">
        <is>
          <t>11 · Orchestration</t>
        </is>
      </c>
      <c r="C86" s="3" t="inlineStr">
        <is>
          <t>Développeur de la plateforme</t>
        </is>
      </c>
      <c r="D86" s="4" t="inlineStr">
        <is>
          <t>que notre moteur lise la définition d'un processus dans un fichier BPMN</t>
        </is>
      </c>
      <c r="E86" s="4" t="inlineStr">
        <is>
          <t>ajouter ou de modifier un workflow sans réécrire le moteur</t>
        </is>
      </c>
      <c r="F86" s="4" t="inlineStr">
        <is>
          <t>Moteur écrit par l'équipe, sous-ensemble BPMN (début, tâche humaine, tâche automatique, choix, minuterie, fin). Fichier chargé et listé avec nom et version ; élément non pris en charge ou étape sans sortie : chargement refusé, message qui le nomme</t>
        </is>
      </c>
      <c r="G86" s="5" t="inlineStr">
        <is>
          <t>À faire</t>
        </is>
      </c>
      <c r="H86" s="6" t="inlineStr">
        <is>
          <t>Should</t>
        </is>
      </c>
      <c r="I86" s="20" t="n">
        <v>8</v>
      </c>
      <c r="J86" s="3" t="inlineStr">
        <is>
          <t>—</t>
        </is>
      </c>
      <c r="K86" s="5" t="n"/>
      <c r="L86" s="7" t="n"/>
      <c r="M86" s="8" t="n">
        <v>0</v>
      </c>
      <c r="N86" s="9" t="n"/>
    </row>
    <row r="87" ht="68" customHeight="1">
      <c r="A87" s="10" t="inlineStr">
        <is>
          <t>US-74</t>
        </is>
      </c>
      <c r="B87" s="3" t="inlineStr">
        <is>
          <t>11 · Orchestration</t>
        </is>
      </c>
      <c r="C87" s="3" t="inlineStr">
        <is>
          <t>Pathologiste guidé par le protocole</t>
        </is>
      </c>
      <c r="D87" s="4" t="inlineStr">
        <is>
          <t>que l'enchaînement Prélèvement, Préparation, Microscopie, Diagnostic soit exécuté par notre orchestrateur à partir de sa définition</t>
        </is>
      </c>
      <c r="E87" s="4" t="inlineStr">
        <is>
          <t>que le protocole soit un schéma lisible et versionné plutôt qu'une règle enfouie dans le code</t>
        </is>
      </c>
      <c r="F87" s="4" t="inlineStr">
        <is>
          <t>Création d'un dossier : instance enregistrée à Prélèvement ; validation : étape suivante, signature et heure comme avant ; étape sautée refusée par le serveur ; reprise après redémarrage et pour les dossiers antérieurs à la migration</t>
        </is>
      </c>
      <c r="G87" s="5" t="inlineStr">
        <is>
          <t>À faire</t>
        </is>
      </c>
      <c r="H87" s="6" t="inlineStr">
        <is>
          <t>Should</t>
        </is>
      </c>
      <c r="I87" s="20" t="n">
        <v>8</v>
      </c>
      <c r="J87" s="3" t="inlineStr">
        <is>
          <t>US-73</t>
        </is>
      </c>
      <c r="K87" s="5" t="n"/>
      <c r="L87" s="7" t="n"/>
      <c r="M87" s="8" t="n">
        <v>0</v>
      </c>
      <c r="N87" s="9" t="n"/>
    </row>
    <row r="88" ht="53" customHeight="1">
      <c r="A88" s="10" t="inlineStr">
        <is>
          <t>US-75</t>
        </is>
      </c>
      <c r="B88" s="3" t="inlineStr">
        <is>
          <t>11 · Orchestration</t>
        </is>
      </c>
      <c r="C88" s="3" t="inlineStr">
        <is>
          <t>Administrateur qui adapte le protocole de son service</t>
        </is>
      </c>
      <c r="D88" s="4" t="inlineStr">
        <is>
          <t>ajouter une étape en modifiant le diagramme</t>
        </is>
      </c>
      <c r="E88" s="4" t="inlineStr">
        <is>
          <t>ne pas attendre un développeur</t>
        </is>
      </c>
      <c r="F88" s="4" t="inlineStr">
        <is>
          <t>Nouvelle version chargée : les nouveaux dossiers la suivent ; les dossiers en cours finissent sur leur version ; étape sans formulaire OLGA : message qui le dit</t>
        </is>
      </c>
      <c r="G88" s="5" t="inlineStr">
        <is>
          <t>À faire</t>
        </is>
      </c>
      <c r="H88" s="6" t="inlineStr">
        <is>
          <t>Could</t>
        </is>
      </c>
      <c r="I88" s="20" t="n">
        <v>5</v>
      </c>
      <c r="J88" s="3" t="inlineStr">
        <is>
          <t>US-74</t>
        </is>
      </c>
      <c r="K88" s="5" t="n"/>
      <c r="L88" s="7" t="n"/>
      <c r="M88" s="8" t="n">
        <v>0</v>
      </c>
      <c r="N88" s="9" t="n"/>
    </row>
    <row r="89" ht="53" customHeight="1">
      <c r="A89" s="10" t="inlineStr">
        <is>
          <t>US-76</t>
        </is>
      </c>
      <c r="B89" s="3" t="inlineStr">
        <is>
          <t>11 · Orchestration</t>
        </is>
      </c>
      <c r="C89" s="3" t="inlineStr">
        <is>
          <t>Pathologiste qui attend un second avis</t>
        </is>
      </c>
      <c r="D89" s="4" t="inlineStr">
        <is>
          <t>que le relecteur soit relancé automatiquement s'il ne répond pas</t>
        </is>
      </c>
      <c r="E89" s="4" t="inlineStr">
        <is>
          <t>que le dossier ne dorme pas</t>
        </is>
      </c>
      <c r="F89" s="4" t="inlineStr">
        <is>
          <t>Sans avis après 48 h : nouvelle notification au relecteur, demandeur informé ; avis rendu avant : pas de relance ; redémarrage pendant le délai : la relance part quand même</t>
        </is>
      </c>
      <c r="G89" s="5" t="inlineStr">
        <is>
          <t>À faire</t>
        </is>
      </c>
      <c r="H89" s="6" t="inlineStr">
        <is>
          <t>Could</t>
        </is>
      </c>
      <c r="I89" s="20" t="n">
        <v>5</v>
      </c>
      <c r="J89" s="3" t="inlineStr">
        <is>
          <t>US-56, US-74</t>
        </is>
      </c>
      <c r="K89" s="5" t="n"/>
      <c r="L89" s="7" t="n"/>
      <c r="M89" s="8" t="n">
        <v>0</v>
      </c>
      <c r="N89" s="9" t="n"/>
    </row>
    <row r="90" ht="53" customHeight="1">
      <c r="A90" s="10" t="inlineStr">
        <is>
          <t>US-77</t>
        </is>
      </c>
      <c r="B90" s="3" t="inlineStr">
        <is>
          <t>11 · Orchestration</t>
        </is>
      </c>
      <c r="C90" s="3" t="inlineStr">
        <is>
          <t>Pathologiste qui arrive à l'étape Microscopie</t>
        </is>
      </c>
      <c r="D90" s="4" t="inlineStr">
        <is>
          <t>que la segmentation des noyaux soit lancée automatiquement</t>
        </is>
      </c>
      <c r="E90" s="4" t="inlineStr">
        <is>
          <t>trouver les résultats prêts</t>
        </is>
      </c>
      <c r="F90" s="4" t="inlineStr">
        <is>
          <t>Tâche automatique confiée à un exécutant qui appelle InstanSeg, résultat enregistré, processus poursuivi ; service en échec : trois tentatives puis incident visible</t>
        </is>
      </c>
      <c r="G90" s="5" t="inlineStr">
        <is>
          <t>À faire</t>
        </is>
      </c>
      <c r="H90" s="6" t="inlineStr">
        <is>
          <t>Could</t>
        </is>
      </c>
      <c r="I90" s="20" t="n">
        <v>5</v>
      </c>
      <c r="J90" s="3" t="inlineStr">
        <is>
          <t>US-74</t>
        </is>
      </c>
      <c r="K90" s="5" t="n"/>
      <c r="L90" s="7" t="n"/>
      <c r="M90" s="8" t="n">
        <v>0</v>
      </c>
      <c r="N90" s="9" t="n"/>
    </row>
    <row r="91" ht="53" customHeight="1">
      <c r="A91" s="10" t="inlineStr">
        <is>
          <t>US-78</t>
        </is>
      </c>
      <c r="B91" s="3" t="inlineStr">
        <is>
          <t>3 · Lames de biopsie</t>
        </is>
      </c>
      <c r="C91" s="3" t="inlineStr">
        <is>
          <t>Pathologiste qui délimite des régions sur une lame</t>
        </is>
      </c>
      <c r="D91" s="4" t="inlineStr">
        <is>
          <t>rattacher chaque annotation à un terme (tumeur, stroma, nécrose…)</t>
        </is>
      </c>
      <c r="E91" s="4" t="inlineStr">
        <is>
          <t>que les zones soient comparables d'un dossier à l'autre et comptables</t>
        </is>
      </c>
      <c r="F91" s="4" t="inlineStr">
        <is>
          <t>Inspirée de Cytomine et QuPath. Terme choisi : couleur associée, légende avec nombre et surface par terme ; termes définis par un administrateur ; sans terme : « Non classée »</t>
        </is>
      </c>
      <c r="G91" s="5" t="inlineStr">
        <is>
          <t>À faire</t>
        </is>
      </c>
      <c r="H91" s="6" t="inlineStr">
        <is>
          <t>Should</t>
        </is>
      </c>
      <c r="I91" s="20" t="n">
        <v>5</v>
      </c>
      <c r="J91" s="3" t="inlineStr">
        <is>
          <t>—</t>
        </is>
      </c>
      <c r="K91" s="5" t="n"/>
      <c r="L91" s="7" t="n"/>
      <c r="M91" s="8" t="n">
        <v>0</v>
      </c>
      <c r="N91" s="9" t="n"/>
    </row>
    <row r="92" ht="46" customHeight="1">
      <c r="A92" s="10" t="inlineStr">
        <is>
          <t>US-79</t>
        </is>
      </c>
      <c r="B92" s="3" t="inlineStr">
        <is>
          <t>3 · Lames de biopsie</t>
        </is>
      </c>
      <c r="C92" s="3" t="inlineStr">
        <is>
          <t>Pathologiste qui participe à une étude</t>
        </is>
      </c>
      <c r="D92" s="4" t="inlineStr">
        <is>
          <t>exporter les annotations d'une lame et leurs mesures</t>
        </is>
      </c>
      <c r="E92" s="4" t="inlineStr">
        <is>
          <t>les exploiter dans un tableur ou un autre logiciel</t>
        </is>
      </c>
      <c r="F92" s="4" t="inlineStr">
        <is>
          <t>Inspirée de QuPath. CSV : annotation, terme, surface, auteur ; GeoJSON en coordonnées image, réimportable dans QuPath</t>
        </is>
      </c>
      <c r="G92" s="5" t="inlineStr">
        <is>
          <t>À faire</t>
        </is>
      </c>
      <c r="H92" s="6" t="inlineStr">
        <is>
          <t>Could</t>
        </is>
      </c>
      <c r="I92" s="20" t="n">
        <v>3</v>
      </c>
      <c r="J92" s="3" t="inlineStr">
        <is>
          <t>US-78</t>
        </is>
      </c>
      <c r="K92" s="5" t="n"/>
      <c r="L92" s="7" t="n"/>
      <c r="M92" s="8" t="n">
        <v>0</v>
      </c>
      <c r="N92" s="9" t="n"/>
    </row>
    <row r="93" ht="53" customHeight="1">
      <c r="A93" s="10" t="inlineStr">
        <is>
          <t>US-80</t>
        </is>
      </c>
      <c r="B93" s="3" t="inlineStr">
        <is>
          <t>7 · Collaboration</t>
        </is>
      </c>
      <c r="C93" s="3" t="inlineStr">
        <is>
          <t>Pathologiste qui veut montrer une zone à un confrère</t>
        </is>
      </c>
      <c r="D93" s="4" t="inlineStr">
        <is>
          <t>copier un lien qui rouvre la lame à la même position et au même grossissement</t>
        </is>
      </c>
      <c r="E93" s="4" t="inlineStr">
        <is>
          <t>qu'il voie exactement ce que je vois</t>
        </is>
      </c>
      <c r="F93" s="4" t="inlineStr">
        <is>
          <t>Inspirée de Cytomine. Le lien rouvre la même zone au même grossissement ; une personne sans accès au dossier est refusée</t>
        </is>
      </c>
      <c r="G93" s="5" t="inlineStr">
        <is>
          <t>À faire</t>
        </is>
      </c>
      <c r="H93" s="6" t="inlineStr">
        <is>
          <t>Could</t>
        </is>
      </c>
      <c r="I93" s="20" t="n">
        <v>3</v>
      </c>
      <c r="J93" s="3" t="inlineStr">
        <is>
          <t>US-17</t>
        </is>
      </c>
      <c r="K93" s="5" t="n"/>
      <c r="L93" s="7" t="n"/>
      <c r="M93" s="8" t="n">
        <v>0</v>
      </c>
      <c r="N93" s="9" t="n"/>
    </row>
    <row r="94" ht="46" customHeight="1">
      <c r="A94" s="10" t="inlineStr">
        <is>
          <t>US-81</t>
        </is>
      </c>
      <c r="B94" s="3" t="inlineStr">
        <is>
          <t>1 · Accès et socle</t>
        </is>
      </c>
      <c r="C94" s="3" t="inlineStr">
        <is>
          <t>Administrateur d'un service</t>
        </is>
      </c>
      <c r="D94" s="4" t="inlineStr">
        <is>
          <t>regrouper des dossiers dans un projet ouvert à certains membres seulement</t>
        </is>
      </c>
      <c r="E94" s="4" t="inlineStr">
        <is>
          <t>qu'un praticien ne voie que les patients de son équipe</t>
        </is>
      </c>
      <c r="F94" s="4" t="inlineStr">
        <is>
          <t>Inspirée de Cytomine. Les dossiers du projet apparaissent pour ses membres ; non-membre : 403 par l'API</t>
        </is>
      </c>
      <c r="G94" s="5" t="inlineStr">
        <is>
          <t>À faire</t>
        </is>
      </c>
      <c r="H94" s="6" t="inlineStr">
        <is>
          <t>Could</t>
        </is>
      </c>
      <c r="I94" s="20" t="n">
        <v>5</v>
      </c>
      <c r="J94" s="3" t="inlineStr">
        <is>
          <t>US-04b</t>
        </is>
      </c>
      <c r="K94" s="5" t="n"/>
      <c r="L94" s="7" t="n"/>
      <c r="M94" s="8" t="n">
        <v>0</v>
      </c>
      <c r="N94" s="9" t="n"/>
    </row>
    <row r="95" ht="46" customHeight="1">
      <c r="A95" s="10" t="inlineStr">
        <is>
          <t>US-82</t>
        </is>
      </c>
      <c r="B95" s="3" t="inlineStr">
        <is>
          <t>5 · Aide au diagnostic</t>
        </is>
      </c>
      <c r="C95" s="3" t="inlineStr">
        <is>
          <t>Pathologiste qui ouvre une grande lame</t>
        </is>
      </c>
      <c r="D95" s="4" t="inlineStr">
        <is>
          <t>voir en couleur où le modèle estime la probabilité la plus forte</t>
        </is>
      </c>
      <c r="E95" s="4" t="inlineStr">
        <is>
          <t>aller d'abord aux zones qui comptent</t>
        </is>
      </c>
      <c r="F95" s="4" t="inlineStr">
        <is>
          <t>Inspirée de Paige et Aiforia. Couche colorée avec légende des scores ; opacité réglable, tissu lisible à 30 %</t>
        </is>
      </c>
      <c r="G95" s="5" t="inlineStr">
        <is>
          <t>À faire</t>
        </is>
      </c>
      <c r="H95" s="6" t="inlineStr">
        <is>
          <t>Could</t>
        </is>
      </c>
      <c r="I95" s="20" t="n">
        <v>5</v>
      </c>
      <c r="J95" s="3" t="inlineStr">
        <is>
          <t>US-43c</t>
        </is>
      </c>
      <c r="K95" s="5" t="n"/>
      <c r="L95" s="7" t="n"/>
      <c r="M95" s="8" t="n">
        <v>0</v>
      </c>
      <c r="N95" s="9" t="n"/>
    </row>
    <row r="96" ht="46" customHeight="1">
      <c r="A96" s="10" t="inlineStr">
        <is>
          <t>US-83</t>
        </is>
      </c>
      <c r="B96" s="3" t="inlineStr">
        <is>
          <t>5 · Aide au diagnostic</t>
        </is>
      </c>
      <c r="C96" s="3" t="inlineStr">
        <is>
          <t>Pathologiste qui ouvre sa file le matin</t>
        </is>
      </c>
      <c r="D96" s="4" t="inlineStr">
        <is>
          <t>trier les dossiers par score de suspicion le plus élevé</t>
        </is>
      </c>
      <c r="E96" s="4" t="inlineStr">
        <is>
          <t>lire en premier les cas les plus probablement graves</t>
        </is>
      </c>
      <c r="F96" s="4" t="inlineStr">
        <is>
          <t>Inspirée de Paige. Score maximal le plus élevé en premier, non analysés en dernier ; un dossier urgent reste en tête</t>
        </is>
      </c>
      <c r="G96" s="5" t="inlineStr">
        <is>
          <t>À faire</t>
        </is>
      </c>
      <c r="H96" s="6" t="inlineStr">
        <is>
          <t>Could</t>
        </is>
      </c>
      <c r="I96" s="20" t="n">
        <v>3</v>
      </c>
      <c r="J96" s="3" t="inlineStr">
        <is>
          <t>US-43c, US-13</t>
        </is>
      </c>
      <c r="K96" s="5" t="n"/>
      <c r="L96" s="7" t="n"/>
      <c r="M96" s="8" t="n">
        <v>0</v>
      </c>
      <c r="N96" s="9" t="n"/>
    </row>
    <row r="97" ht="53" customHeight="1">
      <c r="A97" s="10" t="inlineStr">
        <is>
          <t>US-84</t>
        </is>
      </c>
      <c r="B97" s="3" t="inlineStr">
        <is>
          <t>5 · Aide au diagnostic</t>
        </is>
      </c>
      <c r="C97" s="3" t="inlineStr">
        <is>
          <t>Pathologiste qui évalue la prolifération d'une tumeur</t>
        </is>
      </c>
      <c r="D97" s="4" t="inlineStr">
        <is>
          <t>obtenir le pourcentage de noyaux marqués sur une zone immunomarquée</t>
        </is>
      </c>
      <c r="E97" s="4" t="inlineStr">
        <is>
          <t>ne pas compter à la main</t>
        </is>
      </c>
      <c r="F97" s="4" t="inlineStr">
        <is>
          <t>Inspirée de QuPath et Visiopharm. Positifs, total et pourcentage affichés, noyaux distingués sur la lame ; reclasser un noyau recalcule le pourcentage</t>
        </is>
      </c>
      <c r="G97" s="5" t="inlineStr">
        <is>
          <t>À faire</t>
        </is>
      </c>
      <c r="H97" s="6" t="inlineStr">
        <is>
          <t>Could</t>
        </is>
      </c>
      <c r="I97" s="20" t="n">
        <v>8</v>
      </c>
      <c r="J97" s="3" t="inlineStr">
        <is>
          <t>—</t>
        </is>
      </c>
      <c r="K97" s="5" t="n"/>
      <c r="L97" s="7" t="n"/>
      <c r="M97" s="8" t="n">
        <v>0</v>
      </c>
      <c r="N97" s="9" t="n"/>
    </row>
    <row r="98" ht="53" customHeight="1">
      <c r="A98" s="10" t="inlineStr">
        <is>
          <t>US-85</t>
        </is>
      </c>
      <c r="B98" s="3" t="inlineStr">
        <is>
          <t>5 · Aide au diagnostic</t>
        </is>
      </c>
      <c r="C98" s="3" t="inlineStr">
        <is>
          <t>Pathologiste qui reçoit un dossier de plusieurs lames</t>
        </is>
      </c>
      <c r="D98" s="4" t="inlineStr">
        <is>
          <t>lancer la même analyse sur toutes en une fois</t>
        </is>
      </c>
      <c r="E98" s="4" t="inlineStr">
        <is>
          <t>ne pas répéter le geste</t>
        </is>
      </c>
      <c r="F98" s="4" t="inlineStr">
        <is>
          <t>Inspirée des scripts de QuPath. Une tâche par lame confiée à l'orchestrateur, avancement affiché ; une lame en échec n'empêche pas les autres et sa cause est signalée</t>
        </is>
      </c>
      <c r="G98" s="5" t="inlineStr">
        <is>
          <t>À faire</t>
        </is>
      </c>
      <c r="H98" s="6" t="inlineStr">
        <is>
          <t>Could</t>
        </is>
      </c>
      <c r="I98" s="20" t="n">
        <v>5</v>
      </c>
      <c r="J98" s="3" t="inlineStr">
        <is>
          <t>US-77</t>
        </is>
      </c>
      <c r="K98" s="5" t="n"/>
      <c r="L98" s="7" t="n"/>
      <c r="M98" s="8" t="n">
        <v>0</v>
      </c>
      <c r="N98" s="9" t="n"/>
    </row>
    <row r="99" ht="68" customHeight="1">
      <c r="A99" s="10" t="inlineStr">
        <is>
          <t>US-86</t>
        </is>
      </c>
      <c r="B99" s="3" t="inlineStr">
        <is>
          <t>4 · Radiologie DICOM</t>
        </is>
      </c>
      <c r="C99" s="3" t="inlineStr">
        <is>
          <t>Radiologue qui lit un scanner</t>
        </is>
      </c>
      <c r="D99" s="4" t="inlineStr">
        <is>
          <t>faire défiler les coupes d'une série à la molette</t>
        </is>
      </c>
      <c r="E99" s="4" t="inlineStr">
        <is>
          <t>parcourir le volume comme sur ma station</t>
        </is>
      </c>
      <c r="F99" s="4" t="inlineStr">
        <is>
          <t>Inspirée d'OHIF. Trois crans : trois coupes plus loin, numéro « 4 / 120 » affiché ; une mesure reste sur sa coupe. À confirmer : la visionneuse affiche peut-être une seule image aujourd'hui</t>
        </is>
      </c>
      <c r="G99" s="5" t="inlineStr">
        <is>
          <t>À faire</t>
        </is>
      </c>
      <c r="H99" s="6" t="inlineStr">
        <is>
          <t>Should</t>
        </is>
      </c>
      <c r="I99" s="20" t="n">
        <v>5</v>
      </c>
      <c r="J99" s="3" t="inlineStr">
        <is>
          <t>US-72</t>
        </is>
      </c>
      <c r="K99" s="5" t="n"/>
      <c r="L99" s="7" t="n"/>
      <c r="M99" s="8" t="n">
        <v>0</v>
      </c>
      <c r="N99" s="9" t="n"/>
    </row>
    <row r="100" ht="53" customHeight="1">
      <c r="A100" s="10" t="inlineStr">
        <is>
          <t>US-87</t>
        </is>
      </c>
      <c r="B100" s="3" t="inlineStr">
        <is>
          <t>4 · Radiologie DICOM</t>
        </is>
      </c>
      <c r="C100" s="3" t="inlineStr">
        <is>
          <t>Radiologue qui interprète un examen à plusieurs séries</t>
        </is>
      </c>
      <c r="D100" s="4" t="inlineStr">
        <is>
          <t>afficher deux ou quatre séries côte à côte</t>
        </is>
      </c>
      <c r="E100" s="4" t="inlineStr">
        <is>
          <t>croiser les séquences sans ouvrir plusieurs fenêtres</t>
        </is>
      </c>
      <c r="F100" s="4" t="inlineStr">
        <is>
          <t>Inspirée d'OHIF. Dispositions 1×2 et 2×2, séries glissées depuis les vignettes ; le cadre actif est mis en évidence et reçoit les outils</t>
        </is>
      </c>
      <c r="G100" s="5" t="inlineStr">
        <is>
          <t>À faire</t>
        </is>
      </c>
      <c r="H100" s="6" t="inlineStr">
        <is>
          <t>Should</t>
        </is>
      </c>
      <c r="I100" s="20" t="n">
        <v>5</v>
      </c>
      <c r="J100" s="3" t="inlineStr">
        <is>
          <t>US-72</t>
        </is>
      </c>
      <c r="K100" s="5" t="n"/>
      <c r="L100" s="7" t="n"/>
      <c r="M100" s="8" t="n">
        <v>0</v>
      </c>
      <c r="N100" s="9" t="n"/>
    </row>
    <row r="101" ht="53" customHeight="1">
      <c r="A101" s="10" t="inlineStr">
        <is>
          <t>US-88</t>
        </is>
      </c>
      <c r="B101" s="3" t="inlineStr">
        <is>
          <t>4 · Radiologie DICOM</t>
        </is>
      </c>
      <c r="C101" s="3" t="inlineStr">
        <is>
          <t>Radiologue qui lit un examen de contrôle</t>
        </is>
      </c>
      <c r="D101" s="4" t="inlineStr">
        <is>
          <t>que l'examen précédent du même patient s'ouvre automatiquement à côté</t>
        </is>
      </c>
      <c r="E101" s="4" t="inlineStr">
        <is>
          <t>comparer sans le chercher</t>
        </is>
      </c>
      <c r="F101" s="4" t="inlineStr">
        <is>
          <t>Inspirée de Sectra et OHIF. L'examen antérieur s'ouvre dans le cadre voisin, dates affichées ; sans antérieur : examen seul, pas de cadre vide</t>
        </is>
      </c>
      <c r="G101" s="5" t="inlineStr">
        <is>
          <t>À faire</t>
        </is>
      </c>
      <c r="H101" s="6" t="inlineStr">
        <is>
          <t>Could</t>
        </is>
      </c>
      <c r="I101" s="20" t="n">
        <v>5</v>
      </c>
      <c r="J101" s="3" t="inlineStr">
        <is>
          <t>US-39, US-87</t>
        </is>
      </c>
      <c r="K101" s="5" t="n"/>
      <c r="L101" s="7" t="n"/>
      <c r="M101" s="8" t="n">
        <v>0</v>
      </c>
      <c r="N101" s="9" t="n"/>
    </row>
  </sheetData>
  <autoFilter ref="A1:N101"/>
  <dataValidations count="4">
    <dataValidation sqref="G2:G101" showDropDown="0" showInputMessage="0" showErrorMessage="0" allowBlank="1" type="list">
      <formula1>"À faire,En cours,En revue,Fait,Abandonnée"</formula1>
    </dataValidation>
    <dataValidation sqref="H2:H101" showDropDown="0" showInputMessage="0" showErrorMessage="0" allowBlank="1" type="list">
      <formula1>"Must,Should,Could,Won't,—"</formula1>
    </dataValidation>
    <dataValidation sqref="I2:I101" showDropDown="0" showInputMessage="0" showErrorMessage="0" allowBlank="1" type="list">
      <formula1>"1,2,3,5,8,13"</formula1>
    </dataValidation>
    <dataValidation sqref="M2:M101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Chiron — avancement des user stories</t>
        </is>
      </c>
    </row>
    <row r="2">
      <c r="A2" s="12" t="inlineStr">
        <is>
          <t>Les chiffres se recalculent à partir de l'onglet Suivi. Ne rien saisir ici.</t>
        </is>
      </c>
    </row>
    <row r="4">
      <c r="A4" s="13" t="inlineStr">
        <is>
          <t>Total des stories</t>
        </is>
      </c>
      <c r="B4" s="13">
        <f>COUNTA(Suivi!$A$2:$A$101)</f>
        <v/>
      </c>
    </row>
    <row r="5">
      <c r="A5" s="13" t="inlineStr">
        <is>
          <t>Avancement moyen</t>
        </is>
      </c>
      <c r="B5" s="14">
        <f>AVERAGE(Suivi!$M$2:$M$101)</f>
        <v/>
      </c>
    </row>
    <row r="7">
      <c r="A7" s="15" t="inlineStr">
        <is>
          <t>Par statut</t>
        </is>
      </c>
      <c r="B7" s="15" t="inlineStr">
        <is>
          <t>Nombre</t>
        </is>
      </c>
      <c r="C7" s="15" t="inlineStr">
        <is>
          <t>Part</t>
        </is>
      </c>
    </row>
    <row r="8">
      <c r="A8" s="16" t="inlineStr">
        <is>
          <t>À faire</t>
        </is>
      </c>
      <c r="B8" s="16">
        <f>COUNTIF(Suivi!$G$2:$G$101,$A8)</f>
        <v/>
      </c>
      <c r="C8" s="17">
        <f>IFERROR(B8/$B$4,0)</f>
        <v/>
      </c>
    </row>
    <row r="9">
      <c r="A9" s="16" t="inlineStr">
        <is>
          <t>En cours</t>
        </is>
      </c>
      <c r="B9" s="16">
        <f>COUNTIF(Suivi!$G$2:$G$101,$A9)</f>
        <v/>
      </c>
      <c r="C9" s="17">
        <f>IFERROR(B9/$B$4,0)</f>
        <v/>
      </c>
    </row>
    <row r="10">
      <c r="A10" s="16" t="inlineStr">
        <is>
          <t>En revue</t>
        </is>
      </c>
      <c r="B10" s="16">
        <f>COUNTIF(Suivi!$G$2:$G$101,$A10)</f>
        <v/>
      </c>
      <c r="C10" s="17">
        <f>IFERROR(B10/$B$4,0)</f>
        <v/>
      </c>
    </row>
    <row r="11">
      <c r="A11" s="16" t="inlineStr">
        <is>
          <t>Fait</t>
        </is>
      </c>
      <c r="B11" s="16">
        <f>COUNTIF(Suivi!$G$2:$G$101,$A11)</f>
        <v/>
      </c>
      <c r="C11" s="17">
        <f>IFERROR(B11/$B$4,0)</f>
        <v/>
      </c>
    </row>
    <row r="12">
      <c r="A12" s="16" t="inlineStr">
        <is>
          <t>Abandonnée</t>
        </is>
      </c>
      <c r="B12" s="16">
        <f>COUNTIF(Suivi!$G$2:$G$101,$A12)</f>
        <v/>
      </c>
      <c r="C12" s="17">
        <f>IFERROR(B12/$B$4,0)</f>
        <v/>
      </c>
    </row>
    <row r="15">
      <c r="A15" s="15" t="inlineStr">
        <is>
          <t>Par épique</t>
        </is>
      </c>
      <c r="B15" s="15" t="inlineStr">
        <is>
          <t>Total</t>
        </is>
      </c>
      <c r="C15" s="15" t="inlineStr">
        <is>
          <t>Faites</t>
        </is>
      </c>
      <c r="D15" s="15" t="inlineStr">
        <is>
          <t>Reste</t>
        </is>
      </c>
    </row>
    <row r="16">
      <c r="A16" s="16" t="inlineStr">
        <is>
          <t>1 · Accès et socle</t>
        </is>
      </c>
      <c r="B16" s="16">
        <f>COUNTIF(Suivi!$B$2:$B$101,$A16)</f>
        <v/>
      </c>
      <c r="C16" s="16">
        <f>COUNTIFS(Suivi!$B$2:$B$101,$A16,Suivi!$G$2:$G$101,"Fait")</f>
        <v/>
      </c>
      <c r="D16" s="16">
        <f>B16-C16</f>
        <v/>
      </c>
    </row>
    <row r="17">
      <c r="A17" s="16" t="inlineStr">
        <is>
          <t>2 · Dossiers patients</t>
        </is>
      </c>
      <c r="B17" s="16">
        <f>COUNTIF(Suivi!$B$2:$B$101,$A17)</f>
        <v/>
      </c>
      <c r="C17" s="16">
        <f>COUNTIFS(Suivi!$B$2:$B$101,$A17,Suivi!$G$2:$G$101,"Fait")</f>
        <v/>
      </c>
      <c r="D17" s="16">
        <f>B17-C17</f>
        <v/>
      </c>
    </row>
    <row r="18">
      <c r="A18" s="16" t="inlineStr">
        <is>
          <t>3 · Lames de biopsie</t>
        </is>
      </c>
      <c r="B18" s="16">
        <f>COUNTIF(Suivi!$B$2:$B$101,$A18)</f>
        <v/>
      </c>
      <c r="C18" s="16">
        <f>COUNTIFS(Suivi!$B$2:$B$101,$A18,Suivi!$G$2:$G$101,"Fait")</f>
        <v/>
      </c>
      <c r="D18" s="16">
        <f>B18-C18</f>
        <v/>
      </c>
    </row>
    <row r="19">
      <c r="A19" s="16" t="inlineStr">
        <is>
          <t>4 · Radiologie DICOM</t>
        </is>
      </c>
      <c r="B19" s="16">
        <f>COUNTIF(Suivi!$B$2:$B$101,$A19)</f>
        <v/>
      </c>
      <c r="C19" s="16">
        <f>COUNTIFS(Suivi!$B$2:$B$101,$A19,Suivi!$G$2:$G$101,"Fait")</f>
        <v/>
      </c>
      <c r="D19" s="16">
        <f>B19-C19</f>
        <v/>
      </c>
    </row>
    <row r="20">
      <c r="A20" s="16" t="inlineStr">
        <is>
          <t>5 · Aide au diagnostic</t>
        </is>
      </c>
      <c r="B20" s="16">
        <f>COUNTIF(Suivi!$B$2:$B$101,$A20)</f>
        <v/>
      </c>
      <c r="C20" s="16">
        <f>COUNTIFS(Suivi!$B$2:$B$101,$A20,Suivi!$G$2:$G$101,"Fait")</f>
        <v/>
      </c>
      <c r="D20" s="16">
        <f>B20-C20</f>
        <v/>
      </c>
    </row>
    <row r="21">
      <c r="A21" s="16" t="inlineStr">
        <is>
          <t>6 · Compte rendu</t>
        </is>
      </c>
      <c r="B21" s="16">
        <f>COUNTIF(Suivi!$B$2:$B$101,$A21)</f>
        <v/>
      </c>
      <c r="C21" s="16">
        <f>COUNTIFS(Suivi!$B$2:$B$101,$A21,Suivi!$G$2:$G$101,"Fait")</f>
        <v/>
      </c>
      <c r="D21" s="16">
        <f>B21-C21</f>
        <v/>
      </c>
    </row>
    <row r="22">
      <c r="A22" s="16" t="inlineStr">
        <is>
          <t>7 · Collaboration</t>
        </is>
      </c>
      <c r="B22" s="16">
        <f>COUNTIF(Suivi!$B$2:$B$101,$A22)</f>
        <v/>
      </c>
      <c r="C22" s="16">
        <f>COUNTIFS(Suivi!$B$2:$B$101,$A22,Suivi!$G$2:$G$101,"Fait")</f>
        <v/>
      </c>
      <c r="D22" s="16">
        <f>B22-C22</f>
        <v/>
      </c>
    </row>
    <row r="23">
      <c r="A23" s="16" t="inlineStr">
        <is>
          <t>8 · Robustesse</t>
        </is>
      </c>
      <c r="B23" s="16">
        <f>COUNTIF(Suivi!$B$2:$B$101,$A23)</f>
        <v/>
      </c>
      <c r="C23" s="16">
        <f>COUNTIFS(Suivi!$B$2:$B$101,$A23,Suivi!$G$2:$G$101,"Fait")</f>
        <v/>
      </c>
      <c r="D23" s="16">
        <f>B23-C23</f>
        <v/>
      </c>
    </row>
    <row r="24">
      <c r="A24" s="16" t="inlineStr">
        <is>
          <t>9 · Mobilité</t>
        </is>
      </c>
      <c r="B24" s="16">
        <f>COUNTIF(Suivi!$B$2:$B$101,$A24)</f>
        <v/>
      </c>
      <c r="C24" s="16">
        <f>COUNTIFS(Suivi!$B$2:$B$101,$A24,Suivi!$G$2:$G$101,"Fait")</f>
        <v/>
      </c>
      <c r="D24" s="16">
        <f>B24-C24</f>
        <v/>
      </c>
    </row>
    <row r="25">
      <c r="A25" s="16" t="inlineStr">
        <is>
          <t>10 · Exploitation</t>
        </is>
      </c>
      <c r="B25" s="16">
        <f>COUNTIF(Suivi!$B$2:$B$101,$A25)</f>
        <v/>
      </c>
      <c r="C25" s="16">
        <f>COUNTIFS(Suivi!$B$2:$B$101,$A25,Suivi!$G$2:$G$101,"Fait")</f>
        <v/>
      </c>
      <c r="D25" s="16">
        <f>B25-C25</f>
        <v/>
      </c>
    </row>
    <row r="26">
      <c r="A26" s="16" t="inlineStr">
        <is>
          <t>11 · Orchestration</t>
        </is>
      </c>
      <c r="B26" s="16">
        <f>COUNTIF(Suivi!$B$2:$B$101,$A26)</f>
        <v/>
      </c>
      <c r="C26" s="16">
        <f>COUNTIFS(Suivi!$B$2:$B$101,$A26,Suivi!$G$2:$G$101,"Fait")</f>
        <v/>
      </c>
      <c r="D26" s="16">
        <f>B26-C26</f>
        <v/>
      </c>
    </row>
    <row r="27">
      <c r="A27" s="21" t="n"/>
      <c r="B27" s="21" t="n"/>
      <c r="C27" s="21" t="n"/>
      <c r="D27" s="21" t="n"/>
    </row>
    <row r="28">
      <c r="A28" s="15" t="inlineStr">
        <is>
          <t>Reste à faire par MoSCoW</t>
        </is>
      </c>
      <c r="B28" s="15" t="inlineStr">
        <is>
          <t>Stories</t>
        </is>
      </c>
      <c r="C28" s="22" t="inlineStr">
        <is>
          <t>Points</t>
        </is>
      </c>
      <c r="D28" s="22" t="n"/>
    </row>
    <row r="29">
      <c r="A29" s="16" t="inlineStr">
        <is>
          <t>Must</t>
        </is>
      </c>
      <c r="B29" s="23">
        <f>COUNTIFS(Suivi!$H$2:$H$101,$A29,Suivi!$G$2:$G$101,"&lt;&gt;Fait")</f>
        <v/>
      </c>
      <c r="C29" s="23">
        <f>SUMIFS(Suivi!$I$2:$I$101,Suivi!$H$2:$H$101,$A29,Suivi!$G$2:$G$101,"&lt;&gt;Fait")</f>
        <v/>
      </c>
      <c r="D29" s="21" t="n"/>
    </row>
    <row r="30">
      <c r="A30" s="16" t="inlineStr">
        <is>
          <t>Should</t>
        </is>
      </c>
      <c r="B30" s="23">
        <f>COUNTIFS(Suivi!$H$2:$H$101,$A30,Suivi!$G$2:$G$101,"&lt;&gt;Fait")</f>
        <v/>
      </c>
      <c r="C30" s="23">
        <f>SUMIFS(Suivi!$I$2:$I$101,Suivi!$H$2:$H$101,$A30,Suivi!$G$2:$G$101,"&lt;&gt;Fait")</f>
        <v/>
      </c>
      <c r="D30" s="21" t="n"/>
    </row>
    <row r="31">
      <c r="A31" s="16" t="inlineStr">
        <is>
          <t>Could</t>
        </is>
      </c>
      <c r="B31" s="23">
        <f>COUNTIFS(Suivi!$H$2:$H$101,$A31,Suivi!$G$2:$G$101,"&lt;&gt;Fait")</f>
        <v/>
      </c>
      <c r="C31" s="23">
        <f>SUMIFS(Suivi!$I$2:$I$101,Suivi!$H$2:$H$101,$A31,Suivi!$G$2:$G$101,"&lt;&gt;Fait")</f>
        <v/>
      </c>
      <c r="D31" s="21" t="n"/>
    </row>
    <row r="32">
      <c r="A32" s="16" t="inlineStr">
        <is>
          <t>Won't</t>
        </is>
      </c>
      <c r="B32" s="23">
        <f>COUNTIFS(Suivi!$H$2:$H$101,$A32,Suivi!$G$2:$G$101,"&lt;&gt;Fait")</f>
        <v/>
      </c>
      <c r="C32" s="23">
        <f>SUMIFS(Suivi!$I$2:$I$101,Suivi!$H$2:$H$101,$A32,Suivi!$G$2:$G$101,"&lt;&gt;Fait")</f>
        <v/>
      </c>
      <c r="D32" s="21" t="n"/>
    </row>
    <row r="33">
      <c r="A33" s="21" t="n"/>
      <c r="B33" s="21" t="n"/>
      <c r="C33" s="21" t="n"/>
      <c r="D33" s="21" t="n"/>
    </row>
    <row r="34">
      <c r="A34" s="24" t="n"/>
      <c r="B34" s="24" t="n"/>
      <c r="C34" s="21" t="n"/>
      <c r="D34" s="21" t="n"/>
    </row>
    <row r="35">
      <c r="A35" s="22" t="inlineStr">
        <is>
          <t>Points</t>
        </is>
      </c>
      <c r="B35" s="22" t="inlineStr">
        <is>
          <t>Total</t>
        </is>
      </c>
      <c r="C35" s="22" t="n"/>
      <c r="D35" s="22" t="n"/>
    </row>
    <row r="36">
      <c r="A36" s="16" t="inlineStr">
        <is>
          <t>Points livrés</t>
        </is>
      </c>
      <c r="B36" s="23">
        <f>SUMIFS(Suivi!$I$2:$I$101,Suivi!$G$2:$G$101,"Fait")</f>
        <v/>
      </c>
      <c r="C36" s="21" t="n"/>
      <c r="D36" s="21" t="n"/>
    </row>
    <row r="37">
      <c r="A37" s="16" t="inlineStr">
        <is>
          <t>Points restants</t>
        </is>
      </c>
      <c r="B37" s="23">
        <f>SUMIFS(Suivi!$I$2:$I$101,Suivi!$G$2:$G$101,"&lt;&gt;Fait",Suivi!$G$2:$G$101,"&lt;&gt;Abandonnée")</f>
        <v/>
      </c>
      <c r="C37" s="21" t="n"/>
      <c r="D37" s="21" t="n"/>
    </row>
    <row r="38">
      <c r="A38" s="16" t="inlineStr">
        <is>
          <t>Part livrée</t>
        </is>
      </c>
      <c r="B38" s="17">
        <f>IFERROR(B36/(B36+B37),0)</f>
        <v/>
      </c>
      <c r="C38" s="21" t="n"/>
      <c r="D38" s="21" t="n"/>
    </row>
    <row r="39">
      <c r="A39" s="21" t="n"/>
      <c r="B39" s="21" t="n"/>
      <c r="C39" s="21" t="n"/>
      <c r="D39" s="21" t="n"/>
    </row>
    <row r="40">
      <c r="A40" s="22" t="inlineStr">
        <is>
          <t>Vélocité et capacité</t>
        </is>
      </c>
      <c r="B40" s="22" t="inlineStr">
        <is>
          <t>Valeur</t>
        </is>
      </c>
      <c r="C40" s="22" t="n"/>
      <c r="D40" s="22" t="n"/>
    </row>
    <row r="41">
      <c r="A41" s="16" t="inlineStr">
        <is>
          <t>Vélocité moyenne (points par sprint)</t>
        </is>
      </c>
      <c r="B41" s="25" t="n"/>
      <c r="C41" s="21" t="n"/>
      <c r="D41" s="21" t="n"/>
    </row>
    <row r="42">
      <c r="A42" s="16" t="inlineStr">
        <is>
          <t>Sprints nécessaires pour les Must</t>
        </is>
      </c>
      <c r="B42" s="23">
        <f>IF(B41&gt;0,ROUNDUP(C29/B41,0),"—")</f>
        <v/>
      </c>
      <c r="C42" s="21" t="n"/>
      <c r="D42" s="21" t="n"/>
    </row>
    <row r="43">
      <c r="A43" s="16" t="inlineStr">
        <is>
          <t>Sprints nécessaires pour Must et Should</t>
        </is>
      </c>
      <c r="B43" s="23">
        <f>IF(B41&gt;0,ROUNDUP((C29+C30)/B41,0),"—")</f>
        <v/>
      </c>
      <c r="C43" s="21" t="n"/>
      <c r="D43" s="21" t="n"/>
    </row>
    <row r="44">
      <c r="A44" s="26" t="inlineStr">
        <is>
          <t>Saisir en B41 la moyenne des points livrés sur les trois derniers sprints. Tant qu'elle est vide, les deux lignes au-dessus affichent un tiret.</t>
        </is>
      </c>
      <c r="B44" s="21" t="n"/>
      <c r="C44" s="21" t="n"/>
      <c r="D44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1" t="inlineStr">
        <is>
          <t>Comment se servir de ce classeur</t>
        </is>
      </c>
    </row>
    <row r="3" ht="28" customHeight="1">
      <c r="A3" s="13" t="inlineStr">
        <is>
          <t>Cellules jaunes</t>
        </is>
      </c>
      <c r="B3" s="18" t="inlineStr">
        <is>
          <t>Les seules à remplir : Statut, Sprint, Assigné à, Avancement, Commentaire, et la vélocité dans le tableau de bord (B41). Tout le reste décrit la story et ne bouge pas.</t>
        </is>
      </c>
    </row>
    <row r="4" ht="28" customHeight="1">
      <c r="A4" s="13" t="inlineStr">
        <is>
          <t>Exemple de ligne</t>
        </is>
      </c>
      <c r="B4" s="18" t="inlineStr">
        <is>
          <t>Statut : En cours · Sprint : S3 · Assigné à : Rayan · Avancement : 50% · Commentaire : migration Alembic écrite, routes à reprendre</t>
        </is>
      </c>
    </row>
    <row r="5" ht="28" customHeight="1">
      <c r="A5" s="13" t="inlineStr">
        <is>
          <t>Statut</t>
        </is>
      </c>
      <c r="B5" s="18" t="inlineStr">
        <is>
          <t>À faire, En cours, En revue, Fait, Abandonnée. Liste imposée : la saisie libre est refusée.</t>
        </is>
      </c>
    </row>
    <row r="6" ht="28" customHeight="1">
      <c r="A6" s="13" t="inlineStr">
        <is>
          <t>Avancement</t>
        </is>
      </c>
      <c r="B6" s="18" t="inlineStr">
        <is>
          <t>Entre 0 % et 100 %. Les stories déjà livrées sont à 100 %.</t>
        </is>
      </c>
    </row>
    <row r="7" ht="28" customHeight="1">
      <c r="A7" s="13" t="inlineStr">
        <is>
          <t>MoSCoW</t>
        </is>
      </c>
      <c r="B7" s="18" t="inlineStr">
        <is>
          <t>Priorité pour la prochaine livraison. Must : sans elle la livraison n'a pas de sens · Should : importante, contournable · Could : si le temps le permet · Won't : hors périmètre. Les stories faites ne portent pas de classe (—).</t>
        </is>
      </c>
    </row>
    <row r="8" ht="28" customHeight="1">
      <c r="A8" s="13" t="inlineStr">
        <is>
          <t>Points</t>
        </is>
      </c>
      <c r="B8" s="18" t="inlineStr">
        <is>
          <t>Estimation relative en suite de Fibonacci (1, 2, 3, 5, 8, 13). Aucune story à faire ne dépasse 8 : au-delà, elle est découpée. Les points des stories faites sont estimés après coup et servent de base à la vélocité.</t>
        </is>
      </c>
    </row>
    <row r="9" ht="28" customHeight="1">
      <c r="A9" s="13" t="inlineStr">
        <is>
          <t>Tableau de bord</t>
        </is>
      </c>
      <c r="B9" s="18" t="inlineStr">
        <is>
          <t>Recalculé automatiquement depuis l'onglet Suivi. Ne rien y saisir.</t>
        </is>
      </c>
    </row>
    <row r="11">
      <c r="A11" s="19" t="inlineStr">
        <is>
          <t>Ce qu'il faut savoir avant de planifier</t>
        </is>
      </c>
    </row>
    <row r="12" ht="28" customHeight="1">
      <c r="A12" s="13" t="inlineStr">
        <is>
          <t>Verrou n° 1</t>
        </is>
      </c>
      <c r="B12" s="18" t="inlineStr">
        <is>
          <t>US-04a, la connexion par Supabase Auth, bloque US-04b, US-04c, US-05, US-06a, US-06b et la collaboration (US-55 à US-58, US-59c, US-60).</t>
        </is>
      </c>
    </row>
    <row r="13" ht="28" customHeight="1">
      <c r="A13" s="13" t="inlineStr">
        <is>
          <t>Verrou n° 2</t>
        </is>
      </c>
      <c r="B13" s="18" t="inlineStr">
        <is>
          <t>US-28a et US-28b, plusieurs lames datées, bloquent US-28c, US-29, US-30 et US-31. US-39 relève du même chantier côté radiologie.</t>
        </is>
      </c>
    </row>
    <row r="14" ht="28" customHeight="1">
      <c r="A14" s="13" t="inlineStr">
        <is>
          <t>À commencer</t>
        </is>
      </c>
      <c r="B14" s="18" t="inlineStr">
        <is>
          <t>D'abord l'infrastructure demandée par l'encadrement (US-69 à US-72, 16 points), puis US-12, US-13, US-14 et US-61 à US-64, qui ne dépendent de rien (15 points).</t>
        </is>
      </c>
    </row>
    <row r="15" ht="28" customHeight="1">
      <c r="A15" s="13" t="inlineStr">
        <is>
          <t>Décision en attente</t>
        </is>
      </c>
      <c r="B15" s="18" t="inlineStr">
        <is>
          <t>Le backend n'écrit que le statut « Non analysé », le tableau de bord en teste trois autres qui n'existent nulle part. Arrêter la liste des statuts métier avant d'écrire US-13.</t>
        </is>
      </c>
    </row>
    <row r="16">
      <c r="A16" s="13" t="inlineStr">
        <is>
          <t>Découpage</t>
        </is>
      </c>
      <c r="B16" s="18" t="inlineStr">
        <is>
          <t>Directives de l'encadrement : US-69 à US-77 (MinIO remplacé, Supabase, DICOMweb, orchestrateur maison). Inspirées de l'état de l'art : US-78 à US-88. US-04, US-06, US-28, US-43, US-59 et US-65 ont été découpées ; les morceaux gardent l'identifiant d'origine suivi d'une lettre (US-28a, US-28b, US-28c). Hors périmètre (Won't) : voir le document.</t>
        </is>
      </c>
    </row>
    <row r="17">
      <c r="A17" s="19" t="inlineStr">
        <is>
          <t>Source</t>
        </is>
      </c>
    </row>
    <row r="18" ht="28" customHeight="1">
      <c r="A18" s="13" t="inlineStr">
        <is>
          <t>Document</t>
        </is>
      </c>
      <c r="B18" s="18" t="inlineStr">
        <is>
          <t>Reprend le document « User stories — Chiron. » (critères détaillés en Gherkin). Les stories marquées Fait décrivent le code au 29 septembre 2026 ; celles à faire viennent du backlog de refonte et des planches de maquette.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2026-09-29T08:55:33Z</dcterms:created>
  <dcterms:modified xmlns:dcterms="http://purl.org/dc/terms/" xmlns:xsi="http://www.w3.org/2001/XMLSchema-instance" xsi:type="dcterms:W3CDTF">2026-10-01T11:12:43Z</dcterms:modified>
</cp:coreProperties>
</file>